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LM Unit Costs" sheetId="3" state="visible" r:id="rId3"/>
    <sheet xmlns:r="http://schemas.openxmlformats.org/officeDocument/2006/relationships" name="Feature COGS" sheetId="4" state="visible" r:id="rId4"/>
    <sheet xmlns:r="http://schemas.openxmlformats.org/officeDocument/2006/relationships" name="Paid Features" sheetId="5" state="visible" r:id="rId5"/>
    <sheet xmlns:r="http://schemas.openxmlformats.org/officeDocument/2006/relationships" name="Report Bundles" sheetId="6" state="visible" r:id="rId6"/>
    <sheet xmlns:r="http://schemas.openxmlformats.org/officeDocument/2006/relationships" name="Deployment Costs" sheetId="7" state="visible" r:id="rId7"/>
    <sheet xmlns:r="http://schemas.openxmlformats.org/officeDocument/2006/relationships" name="Breakeven Summary" sheetId="8" state="visible" r:id="rId8"/>
    <sheet xmlns:r="http://schemas.openxmlformats.org/officeDocument/2006/relationships" name="Subscriber Growth" sheetId="9" state="visible" r:id="rId9"/>
    <sheet xmlns:r="http://schemas.openxmlformats.org/officeDocument/2006/relationships" name="Subscription Model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;[Red]-₹#,##0;&quot;-&quot;"/>
    <numFmt numFmtId="165" formatCode="0.0%;[Red]-0.0%;&quot;-&quot;"/>
  </numFmts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  <sz val="10"/>
    </font>
    <font>
      <b val="1"/>
      <color rgb="00334155"/>
    </font>
    <font>
      <b val="1"/>
      <color rgb="000F172A"/>
      <sz val="16"/>
    </font>
    <font>
      <color rgb="0064748B"/>
      <sz val="9"/>
    </font>
    <font>
      <b val="1"/>
      <color rgb="00FFFFFF"/>
      <sz val="13"/>
    </font>
    <font>
      <b val="1"/>
    </font>
    <font>
      <b val="1"/>
      <color rgb="00FFFFFF"/>
    </font>
    <font>
      <b val="1"/>
      <color rgb="000F172A"/>
    </font>
    <font>
      <name val="Aptos"/>
      <b val="1"/>
      <color rgb="00FFFFFF"/>
      <sz val="18"/>
    </font>
    <font>
      <name val="Aptos"/>
      <family val="2"/>
      <color theme="1"/>
      <sz val="11"/>
      <scheme val="minor"/>
    </font>
    <font>
      <name val="Aptos"/>
      <i val="1"/>
      <color rgb="00475569"/>
      <sz val="10"/>
    </font>
    <font>
      <name val="Aptos"/>
      <b val="1"/>
      <color rgb="00334155"/>
    </font>
    <font>
      <name val="Aptos"/>
      <b val="1"/>
      <color rgb="000F172A"/>
      <sz val="16"/>
    </font>
    <font>
      <name val="Aptos"/>
      <color rgb="0064748B"/>
      <sz val="9"/>
    </font>
    <font>
      <name val="Aptos"/>
      <b val="1"/>
      <color rgb="00FFFFFF"/>
      <sz val="13"/>
    </font>
    <font>
      <name val="Aptos"/>
      <b val="1"/>
    </font>
    <font>
      <name val="Aptos"/>
      <b val="1"/>
      <color rgb="00FFFFFF"/>
    </font>
    <font>
      <name val="Aptos"/>
      <b val="1"/>
      <color rgb="000F172A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64748B"/>
      </top>
      <bottom style="medium">
        <color rgb="0064748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0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vertical="top" wrapText="1"/>
    </xf>
    <xf numFmtId="0" fontId="18" fillId="6" borderId="0" pivotButton="0" quotePrefix="0" xfId="0"/>
    <xf numFmtId="0" fontId="19" fillId="0" borderId="0" pivotButton="0" quotePrefix="0" xfId="0"/>
    <xf numFmtId="0" fontId="18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164" fontId="11" fillId="3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165" fontId="11" fillId="3" borderId="1" applyAlignment="1" pivotButton="0" quotePrefix="0" xfId="0">
      <alignment vertical="top" wrapText="1"/>
    </xf>
    <xf numFmtId="0" fontId="19" fillId="7" borderId="2" applyAlignment="1" pivotButton="0" quotePrefix="0" xfId="0">
      <alignment vertical="top" wrapText="1"/>
    </xf>
    <xf numFmtId="164" fontId="19" fillId="7" borderId="2" applyAlignment="1" pivotButton="0" quotePrefix="0" xfId="0">
      <alignment vertical="top" wrapText="1"/>
    </xf>
    <xf numFmtId="165" fontId="19" fillId="7" borderId="2" applyAlignment="1" pivotButton="0" quotePrefix="0" xfId="0">
      <alignment vertical="top" wrapText="1"/>
    </xf>
    <xf numFmtId="0" fontId="18" fillId="2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Variable COGS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'Subscription Model'!D4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'Subscription Model'!$A$5:$A$9</f>
            </numRef>
          </cat>
          <val>
            <numRef>
              <f>'Subscription Model'!$D$5:$D$9</f>
            </numRef>
          </val>
        </ser>
        <ser>
          <idx val="1"/>
          <order val="1"/>
          <tx>
            <strRef>
              <f>'Subscription Model'!E4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'Subscription Model'!$A$5:$A$9</f>
            </numRef>
          </cat>
          <val>
            <numRef>
              <f>'Subscription Model'!$E$5:$E$9</f>
            </numRef>
          </val>
        </ser>
        <ser>
          <idx val="2"/>
          <order val="2"/>
          <tx>
            <strRef>
              <f>'Subscription Model'!F4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'Subscription Model'!$A$5:$A$9</f>
            </numRef>
          </cat>
          <val>
            <numRef>
              <f>'Subscription Model'!$F$5:$F$9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Profit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'Sensitivity'!$A$5:$A$10</f>
            </numRef>
          </cat>
          <val>
            <numRef>
              <f>'Sensitivity'!$H$5:$H$10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AgentAdda.in Product Cost Assessment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Subscription pricing, breakeven, and 20% profit assessment · prepared 2026-08-23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2" customHeight="1">
      <c r="A4" s="4" t="inlineStr">
        <is>
          <t>Recommended default plan</t>
        </is>
      </c>
      <c r="B4" s="5" t="n"/>
      <c r="C4" s="5" t="n"/>
      <c r="D4" s="4" t="inlineStr">
        <is>
          <t>100-user base revenue</t>
        </is>
      </c>
      <c r="E4" s="5" t="n"/>
      <c r="F4" s="5" t="n"/>
      <c r="G4" s="4" t="inlineStr">
        <is>
          <t>Base-case operating profit</t>
        </is>
      </c>
      <c r="H4" s="5" t="n"/>
      <c r="I4" s="5" t="n"/>
      <c r="J4" s="2" t="n"/>
    </row>
    <row r="5" ht="22" customHeight="1">
      <c r="A5" s="6" t="inlineStr">
        <is>
          <t>Plus ₹299/mo</t>
        </is>
      </c>
      <c r="B5" s="5" t="n"/>
      <c r="C5" s="5" t="n"/>
      <c r="D5" s="6" t="inlineStr">
        <is>
          <t>₹32,000/mo</t>
        </is>
      </c>
      <c r="E5" s="5" t="n"/>
      <c r="F5" s="5" t="n"/>
      <c r="G5" s="6" t="inlineStr">
        <is>
          <t>₹7,040/mo</t>
        </is>
      </c>
      <c r="H5" s="5" t="n"/>
      <c r="I5" s="5" t="n"/>
      <c r="J5" s="2" t="n"/>
    </row>
    <row r="6" ht="22" customHeight="1">
      <c r="A6" s="7" t="inlineStr">
        <is>
          <t>Best balance of value and margin</t>
        </is>
      </c>
      <c r="B6" s="5" t="n"/>
      <c r="C6" s="5" t="n"/>
      <c r="D6" s="7" t="inlineStr">
        <is>
          <t>Blended Starter/Plus/Pro/Power mix</t>
        </is>
      </c>
      <c r="E6" s="5" t="n"/>
      <c r="F6" s="5" t="n"/>
      <c r="G6" s="7" t="inlineStr">
        <is>
          <t>After variable COGS and fixed beta costs</t>
        </is>
      </c>
      <c r="H6" s="5" t="n"/>
      <c r="I6" s="5" t="n"/>
      <c r="J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2" customHeight="1">
      <c r="A8" s="4" t="inlineStr">
        <is>
          <t>Base-case margin</t>
        </is>
      </c>
      <c r="B8" s="5" t="n"/>
      <c r="C8" s="5" t="n"/>
      <c r="D8" s="4" t="inlineStr">
        <is>
          <t>Primary default LLM</t>
        </is>
      </c>
      <c r="E8" s="5" t="n"/>
      <c r="F8" s="5" t="n"/>
      <c r="G8" s="4" t="inlineStr">
        <is>
          <t>Router / parser LLM</t>
        </is>
      </c>
      <c r="H8" s="5" t="n"/>
      <c r="I8" s="5" t="n"/>
      <c r="J8" s="2" t="n"/>
    </row>
    <row r="9" ht="22" customHeight="1">
      <c r="A9" s="6" t="inlineStr">
        <is>
          <t>22.0%</t>
        </is>
      </c>
      <c r="B9" s="5" t="n"/>
      <c r="C9" s="5" t="n"/>
      <c r="D9" s="6" t="inlineStr">
        <is>
          <t>gpt-4o-mini</t>
        </is>
      </c>
      <c r="E9" s="5" t="n"/>
      <c r="F9" s="5" t="n"/>
      <c r="G9" s="6" t="inlineStr">
        <is>
          <t>gpt-5-nano</t>
        </is>
      </c>
      <c r="H9" s="5" t="n"/>
      <c r="I9" s="5" t="n"/>
      <c r="J9" s="2" t="n"/>
    </row>
    <row r="10" ht="22" customHeight="1">
      <c r="A10" s="7" t="inlineStr">
        <is>
          <t>Clears 20% target by ₹800 headroom</t>
        </is>
      </c>
      <c r="B10" s="5" t="n"/>
      <c r="C10" s="5" t="n"/>
      <c r="D10" s="7" t="inlineStr">
        <is>
          <t>Cost-efficient normal answer model</t>
        </is>
      </c>
      <c r="E10" s="5" t="n"/>
      <c r="F10" s="5" t="n"/>
      <c r="G10" s="7" t="inlineStr">
        <is>
          <t>Lowest-cost structured extraction layer</t>
        </is>
      </c>
      <c r="H10" s="5" t="n"/>
      <c r="I10" s="5" t="n"/>
      <c r="J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2" customHeight="1">
      <c r="A13" s="8" t="inlineStr">
        <is>
          <t>Management Recommendation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22" customHeight="1">
      <c r="A14" s="9" t="inlineStr">
        <is>
          <t>1.</t>
        </is>
      </c>
      <c r="B14" s="10" t="inlineStr">
        <is>
          <t>Launch paid beta with Starter ₹149, Plus ₹299, Pro ₹799; keep Power ₹1,499 behind fair-use controls.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2" customHeight="1">
      <c r="A15" s="9" t="inlineStr">
        <is>
          <t>2.</t>
        </is>
      </c>
      <c r="B15" s="10" t="inlineStr">
        <is>
          <t>Use gpt-5-nano for routing/extraction and gpt-4o-mini for default answers; reserve Luna/Terra for paid deep research.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2" customHeight="1">
      <c r="A16" s="9" t="inlineStr">
        <is>
          <t>3.</t>
        </is>
      </c>
      <c r="B16" s="10" t="inlineStr">
        <is>
          <t>Do not use GPT-4, GPT-4 Turbo, or default GPT-4o for routine traffic; economics become unworkable.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2" customHeight="1">
      <c r="A17" s="9" t="inlineStr">
        <is>
          <t>4.</t>
        </is>
      </c>
      <c r="B17" s="10" t="inlineStr">
        <is>
          <t>Before public launch: implement per-user token ledger, deep-research quotas, model-route logging, and budget circuit breakers.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22" customHeight="1">
      <c r="A18" s="9" t="inlineStr">
        <is>
          <t>5.</t>
        </is>
      </c>
      <c r="B18" s="10" t="inlineStr">
        <is>
          <t>Validate production market-data licensing separately; real-time data can dominate LLM cost.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2" customHeight="1">
      <c r="A21" s="11" t="inlineStr">
        <is>
          <t>Review tabs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2" customHeight="1">
      <c r="A22" s="12" t="inlineStr">
        <is>
          <t>Assumptions</t>
        </is>
      </c>
      <c r="B22" s="2" t="inlineStr">
        <is>
          <t>Editable pricing, usage, FX, and fixed-cost assumptions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2" customHeight="1">
      <c r="A23" s="12" t="inlineStr">
        <is>
          <t>LLM Unit Costs</t>
        </is>
      </c>
      <c r="B23" s="2" t="inlineStr">
        <is>
          <t>Per-query and per-user monthly LLM economics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2" customHeight="1">
      <c r="A24" s="12" t="inlineStr">
        <is>
          <t>Feature COGS</t>
        </is>
      </c>
      <c r="B24" s="2" t="inlineStr">
        <is>
          <t>Feature-by-feature cost drivers and controls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2" customHeight="1">
      <c r="A25" s="12" t="inlineStr">
        <is>
          <t>Paid Features</t>
        </is>
      </c>
      <c r="B25" s="2" t="inlineStr">
        <is>
          <t>Paid feature/report packaging, tier gates, and usage controls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2" customHeight="1">
      <c r="A26" s="12" t="inlineStr">
        <is>
          <t>Report Bundles</t>
        </is>
      </c>
      <c r="B26" s="2" t="inlineStr">
        <is>
          <t>Report packs and add-on monetization options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2" customHeight="1">
      <c r="A27" s="12" t="inlineStr">
        <is>
          <t>Deployment Costs</t>
        </is>
      </c>
      <c r="B27" s="2" t="inlineStr">
        <is>
          <t>Cloudflare, FastAPI, Postgres, workers, email, monitoring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2" customHeight="1">
      <c r="A28" s="12" t="inlineStr">
        <is>
          <t>Subscriber Growth</t>
        </is>
      </c>
      <c r="B28" s="2" t="inlineStr">
        <is>
          <t>Breakeven and profitability by subscriber count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2" customHeight="1">
      <c r="A29" s="12" t="inlineStr">
        <is>
          <t>Subscription Model</t>
        </is>
      </c>
      <c r="B29" s="2" t="inlineStr">
        <is>
          <t>100-user plan mix, contribution, and margin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12" t="inlineStr">
        <is>
          <t>Sensitivity</t>
        </is>
      </c>
      <c r="B30" s="2" t="inlineStr">
        <is>
          <t>All-Starter, all-Plus, all-Pro downside/upside cases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12" t="inlineStr">
        <is>
          <t>Sources</t>
        </is>
      </c>
      <c r="B31" s="2" t="inlineStr">
        <is>
          <t>Pricing and product-scope references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</row>
  </sheetData>
  <mergeCells count="37">
    <mergeCell ref="G10:I10"/>
    <mergeCell ref="G6:I6"/>
    <mergeCell ref="B14:J14"/>
    <mergeCell ref="B17:J17"/>
    <mergeCell ref="B23:J23"/>
    <mergeCell ref="A13:J13"/>
    <mergeCell ref="B29:J29"/>
    <mergeCell ref="A5:C5"/>
    <mergeCell ref="G5:I5"/>
    <mergeCell ref="B28:J28"/>
    <mergeCell ref="A8:C8"/>
    <mergeCell ref="D4:F4"/>
    <mergeCell ref="G4:I4"/>
    <mergeCell ref="D9:F9"/>
    <mergeCell ref="D8:F8"/>
    <mergeCell ref="A4:C4"/>
    <mergeCell ref="B24:J24"/>
    <mergeCell ref="B30:J30"/>
    <mergeCell ref="A10:C10"/>
    <mergeCell ref="B15:J15"/>
    <mergeCell ref="A1:J1"/>
    <mergeCell ref="D5:F5"/>
    <mergeCell ref="A9:C9"/>
    <mergeCell ref="G9:I9"/>
    <mergeCell ref="B26:J26"/>
    <mergeCell ref="B16:J16"/>
    <mergeCell ref="D10:F10"/>
    <mergeCell ref="B25:J25"/>
    <mergeCell ref="B22:J22"/>
    <mergeCell ref="A6:C6"/>
    <mergeCell ref="A21:J21"/>
    <mergeCell ref="B31:J31"/>
    <mergeCell ref="G8:I8"/>
    <mergeCell ref="B18:J18"/>
    <mergeCell ref="B27:J27"/>
    <mergeCell ref="A2:J2"/>
    <mergeCell ref="D6:F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26" customWidth="1" min="4" max="4"/>
    <col width="4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Editable source assumptions used by the model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Category</t>
        </is>
      </c>
      <c r="B4" s="13" t="inlineStr">
        <is>
          <t>Assumption</t>
        </is>
      </c>
      <c r="C4" s="13" t="inlineStr">
        <is>
          <t>Value</t>
        </is>
      </c>
      <c r="D4" s="13" t="inlineStr">
        <is>
          <t>Unit</t>
        </is>
      </c>
      <c r="E4" s="13" t="inlineStr">
        <is>
          <t>Notes</t>
        </is>
      </c>
      <c r="F4" s="2" t="n"/>
      <c r="G4" s="2" t="n"/>
      <c r="H4" s="2" t="n"/>
    </row>
    <row r="5">
      <c r="A5" s="14" t="inlineStr">
        <is>
          <t>Date</t>
        </is>
      </c>
      <c r="B5" s="14" t="inlineStr">
        <is>
          <t>Model date</t>
        </is>
      </c>
      <c r="C5" s="14" t="inlineStr">
        <is>
          <t>2026-08-23</t>
        </is>
      </c>
      <c r="D5" s="14" t="inlineStr">
        <is>
          <t>date</t>
        </is>
      </c>
      <c r="E5" s="14" t="inlineStr">
        <is>
          <t>Prepared for AgentAdda.in product review</t>
        </is>
      </c>
      <c r="F5" s="2" t="n"/>
      <c r="G5" s="2" t="n"/>
      <c r="H5" s="2" t="n"/>
    </row>
    <row r="6">
      <c r="A6" s="15" t="inlineStr">
        <is>
          <t>FX</t>
        </is>
      </c>
      <c r="B6" s="15" t="inlineStr">
        <is>
          <t>USD to INR</t>
        </is>
      </c>
      <c r="C6" s="15" t="inlineStr">
        <is>
          <t>95.66</t>
        </is>
      </c>
      <c r="D6" s="15" t="inlineStr">
        <is>
          <t>INR per USD</t>
        </is>
      </c>
      <c r="E6" s="15" t="inlineStr">
        <is>
          <t>Wise mid-market reference</t>
        </is>
      </c>
      <c r="F6" s="2" t="n"/>
      <c r="G6" s="2" t="n"/>
      <c r="H6" s="2" t="n"/>
    </row>
    <row r="7">
      <c r="A7" s="14" t="inlineStr">
        <is>
          <t>Usage</t>
        </is>
      </c>
      <c r="B7" s="14" t="inlineStr">
        <is>
          <t>Trading days per month</t>
        </is>
      </c>
      <c r="C7" s="14" t="inlineStr">
        <is>
          <t>22</t>
        </is>
      </c>
      <c r="D7" s="14" t="inlineStr">
        <is>
          <t>days</t>
        </is>
      </c>
      <c r="E7" s="14" t="inlineStr">
        <is>
          <t>Used for monthly usage model</t>
        </is>
      </c>
      <c r="F7" s="2" t="n"/>
      <c r="G7" s="2" t="n"/>
      <c r="H7" s="2" t="n"/>
    </row>
    <row r="8">
      <c r="A8" s="15" t="inlineStr">
        <is>
          <t>Usage</t>
        </is>
      </c>
      <c r="B8" s="15" t="inlineStr">
        <is>
          <t>Standard query input tokens</t>
        </is>
      </c>
      <c r="C8" s="15" t="inlineStr">
        <is>
          <t>10000</t>
        </is>
      </c>
      <c r="D8" s="15" t="inlineStr">
        <is>
          <t>tokens</t>
        </is>
      </c>
      <c r="E8" s="15" t="inlineStr">
        <is>
          <t>Tool-retrieved context plus conversation</t>
        </is>
      </c>
      <c r="F8" s="2" t="n"/>
      <c r="G8" s="2" t="n"/>
      <c r="H8" s="2" t="n"/>
    </row>
    <row r="9">
      <c r="A9" s="14" t="inlineStr">
        <is>
          <t>Usage</t>
        </is>
      </c>
      <c r="B9" s="14" t="inlineStr">
        <is>
          <t>Standard query output tokens</t>
        </is>
      </c>
      <c r="C9" s="14" t="inlineStr">
        <is>
          <t>1200</t>
        </is>
      </c>
      <c r="D9" s="14" t="inlineStr">
        <is>
          <t>tokens</t>
        </is>
      </c>
      <c r="E9" s="14" t="inlineStr">
        <is>
          <t>Concise answer plus citations/follow-ups</t>
        </is>
      </c>
      <c r="F9" s="2" t="n"/>
      <c r="G9" s="2" t="n"/>
      <c r="H9" s="2" t="n"/>
    </row>
    <row r="10">
      <c r="A10" s="15" t="inlineStr">
        <is>
          <t>OpenAI</t>
        </is>
      </c>
      <c r="B10" s="15" t="inlineStr">
        <is>
          <t>gpt-5-nano input price</t>
        </is>
      </c>
      <c r="C10" s="15" t="inlineStr">
        <is>
          <t>0.05</t>
        </is>
      </c>
      <c r="D10" s="15" t="inlineStr">
        <is>
          <t>USD per 1M input tokens</t>
        </is>
      </c>
      <c r="E10" s="15" t="inlineStr">
        <is>
          <t>Official OpenAI pricing page</t>
        </is>
      </c>
      <c r="F10" s="2" t="n"/>
      <c r="G10" s="2" t="n"/>
      <c r="H10" s="2" t="n"/>
    </row>
    <row r="11">
      <c r="A11" s="14" t="inlineStr">
        <is>
          <t>OpenAI</t>
        </is>
      </c>
      <c r="B11" s="14" t="inlineStr">
        <is>
          <t>gpt-5-nano output price</t>
        </is>
      </c>
      <c r="C11" s="14" t="inlineStr">
        <is>
          <t>0.40</t>
        </is>
      </c>
      <c r="D11" s="14" t="inlineStr">
        <is>
          <t>USD per 1M output tokens</t>
        </is>
      </c>
      <c r="E11" s="14" t="inlineStr">
        <is>
          <t>Official OpenAI pricing page</t>
        </is>
      </c>
      <c r="F11" s="2" t="n"/>
      <c r="G11" s="2" t="n"/>
      <c r="H11" s="2" t="n"/>
    </row>
    <row r="12">
      <c r="A12" s="15" t="inlineStr">
        <is>
          <t>OpenAI</t>
        </is>
      </c>
      <c r="B12" s="15" t="inlineStr">
        <is>
          <t>gpt-4o-mini input price</t>
        </is>
      </c>
      <c r="C12" s="15" t="inlineStr">
        <is>
          <t>0.15</t>
        </is>
      </c>
      <c r="D12" s="15" t="inlineStr">
        <is>
          <t>USD per 1M input tokens</t>
        </is>
      </c>
      <c r="E12" s="15" t="inlineStr">
        <is>
          <t>Official OpenAI pricing page</t>
        </is>
      </c>
      <c r="F12" s="2" t="n"/>
      <c r="G12" s="2" t="n"/>
      <c r="H12" s="2" t="n"/>
    </row>
    <row r="13">
      <c r="A13" s="14" t="inlineStr">
        <is>
          <t>OpenAI</t>
        </is>
      </c>
      <c r="B13" s="14" t="inlineStr">
        <is>
          <t>gpt-4o-mini output price</t>
        </is>
      </c>
      <c r="C13" s="14" t="inlineStr">
        <is>
          <t>0.60</t>
        </is>
      </c>
      <c r="D13" s="14" t="inlineStr">
        <is>
          <t>USD per 1M output tokens</t>
        </is>
      </c>
      <c r="E13" s="14" t="inlineStr">
        <is>
          <t>Official OpenAI pricing page</t>
        </is>
      </c>
      <c r="F13" s="2" t="n"/>
      <c r="G13" s="2" t="n"/>
      <c r="H13" s="2" t="n"/>
    </row>
    <row r="14">
      <c r="A14" s="15" t="inlineStr">
        <is>
          <t>OpenAI</t>
        </is>
      </c>
      <c r="B14" s="15" t="inlineStr">
        <is>
          <t>gpt-5.6-luna input price</t>
        </is>
      </c>
      <c r="C14" s="15" t="inlineStr">
        <is>
          <t>0.20</t>
        </is>
      </c>
      <c r="D14" s="15" t="inlineStr">
        <is>
          <t>USD per 1M input tokens</t>
        </is>
      </c>
      <c r="E14" s="15" t="inlineStr">
        <is>
          <t>Official OpenAI pricing page</t>
        </is>
      </c>
      <c r="F14" s="2" t="n"/>
      <c r="G14" s="2" t="n"/>
      <c r="H14" s="2" t="n"/>
    </row>
    <row r="15">
      <c r="A15" s="14" t="inlineStr">
        <is>
          <t>OpenAI</t>
        </is>
      </c>
      <c r="B15" s="14" t="inlineStr">
        <is>
          <t>gpt-5.6-luna output price</t>
        </is>
      </c>
      <c r="C15" s="14" t="inlineStr">
        <is>
          <t>1.20</t>
        </is>
      </c>
      <c r="D15" s="14" t="inlineStr">
        <is>
          <t>USD per 1M output tokens</t>
        </is>
      </c>
      <c r="E15" s="14" t="inlineStr">
        <is>
          <t>Official OpenAI pricing page</t>
        </is>
      </c>
      <c r="F15" s="2" t="n"/>
      <c r="G15" s="2" t="n"/>
      <c r="H15" s="2" t="n"/>
    </row>
    <row r="16">
      <c r="A16" s="15" t="inlineStr">
        <is>
          <t>OpenAI</t>
        </is>
      </c>
      <c r="B16" s="15" t="inlineStr">
        <is>
          <t>gpt-5.6-terra input price</t>
        </is>
      </c>
      <c r="C16" s="15" t="inlineStr">
        <is>
          <t>2.00</t>
        </is>
      </c>
      <c r="D16" s="15" t="inlineStr">
        <is>
          <t>USD per 1M input tokens</t>
        </is>
      </c>
      <c r="E16" s="15" t="inlineStr">
        <is>
          <t>Official OpenAI pricing page</t>
        </is>
      </c>
      <c r="F16" s="2" t="n"/>
      <c r="G16" s="2" t="n"/>
      <c r="H16" s="2" t="n"/>
    </row>
    <row r="17">
      <c r="A17" s="14" t="inlineStr">
        <is>
          <t>OpenAI</t>
        </is>
      </c>
      <c r="B17" s="14" t="inlineStr">
        <is>
          <t>gpt-5.6-terra output price</t>
        </is>
      </c>
      <c r="C17" s="14" t="inlineStr">
        <is>
          <t>12.00</t>
        </is>
      </c>
      <c r="D17" s="14" t="inlineStr">
        <is>
          <t>USD per 1M output tokens</t>
        </is>
      </c>
      <c r="E17" s="14" t="inlineStr">
        <is>
          <t>Official OpenAI pricing page</t>
        </is>
      </c>
      <c r="F17" s="2" t="n"/>
      <c r="G17" s="2" t="n"/>
      <c r="H17" s="2" t="n"/>
    </row>
    <row r="18">
      <c r="A18" s="15" t="inlineStr">
        <is>
          <t>OpenAI</t>
        </is>
      </c>
      <c r="B18" s="15" t="inlineStr">
        <is>
          <t>gpt-4o input price</t>
        </is>
      </c>
      <c r="C18" s="15" t="inlineStr">
        <is>
          <t>2.50</t>
        </is>
      </c>
      <c r="D18" s="15" t="inlineStr">
        <is>
          <t>USD per 1M input tokens</t>
        </is>
      </c>
      <c r="E18" s="15" t="inlineStr">
        <is>
          <t>Official OpenAI pricing page</t>
        </is>
      </c>
      <c r="F18" s="2" t="n"/>
      <c r="G18" s="2" t="n"/>
      <c r="H18" s="2" t="n"/>
    </row>
    <row r="19">
      <c r="A19" s="14" t="inlineStr">
        <is>
          <t>OpenAI</t>
        </is>
      </c>
      <c r="B19" s="14" t="inlineStr">
        <is>
          <t>gpt-4o output price</t>
        </is>
      </c>
      <c r="C19" s="14" t="inlineStr">
        <is>
          <t>10.00</t>
        </is>
      </c>
      <c r="D19" s="14" t="inlineStr">
        <is>
          <t>USD per 1M output tokens</t>
        </is>
      </c>
      <c r="E19" s="14" t="inlineStr">
        <is>
          <t>Official OpenAI pricing page</t>
        </is>
      </c>
      <c r="F19" s="2" t="n"/>
      <c r="G19" s="2" t="n"/>
      <c r="H19" s="2" t="n"/>
    </row>
    <row r="20">
      <c r="A20" s="15" t="inlineStr">
        <is>
          <t>OpenAI</t>
        </is>
      </c>
      <c r="B20" s="15" t="inlineStr">
        <is>
          <t>gpt-4 input price</t>
        </is>
      </c>
      <c r="C20" s="15" t="inlineStr">
        <is>
          <t>30.00</t>
        </is>
      </c>
      <c r="D20" s="15" t="inlineStr">
        <is>
          <t>USD per 1M input tokens</t>
        </is>
      </c>
      <c r="E20" s="15" t="inlineStr">
        <is>
          <t>Official OpenAI pricing page</t>
        </is>
      </c>
      <c r="F20" s="2" t="n"/>
      <c r="G20" s="2" t="n"/>
      <c r="H20" s="2" t="n"/>
    </row>
    <row r="21">
      <c r="A21" s="14" t="inlineStr">
        <is>
          <t>OpenAI</t>
        </is>
      </c>
      <c r="B21" s="14" t="inlineStr">
        <is>
          <t>gpt-4 output price</t>
        </is>
      </c>
      <c r="C21" s="14" t="inlineStr">
        <is>
          <t>60.00</t>
        </is>
      </c>
      <c r="D21" s="14" t="inlineStr">
        <is>
          <t>USD per 1M output tokens</t>
        </is>
      </c>
      <c r="E21" s="14" t="inlineStr">
        <is>
          <t>Official OpenAI pricing page</t>
        </is>
      </c>
      <c r="F21" s="2" t="n"/>
      <c r="G21" s="2" t="n"/>
      <c r="H21" s="2" t="n"/>
    </row>
    <row r="22">
      <c r="A22" s="15" t="inlineStr">
        <is>
          <t>DeepSeek</t>
        </is>
      </c>
      <c r="B22" s="15" t="inlineStr">
        <is>
          <t>V4 Flash off-peak input price</t>
        </is>
      </c>
      <c r="C22" s="15" t="inlineStr">
        <is>
          <t>0.22</t>
        </is>
      </c>
      <c r="D22" s="15" t="inlineStr">
        <is>
          <t>USD per 1M input tokens</t>
        </is>
      </c>
      <c r="E22" s="15" t="inlineStr">
        <is>
          <t>Official DeepSeek pricing page</t>
        </is>
      </c>
      <c r="F22" s="2" t="n"/>
      <c r="G22" s="2" t="n"/>
      <c r="H22" s="2" t="n"/>
    </row>
    <row r="23">
      <c r="A23" s="14" t="inlineStr">
        <is>
          <t>DeepSeek</t>
        </is>
      </c>
      <c r="B23" s="14" t="inlineStr">
        <is>
          <t>V4 Flash off-peak output price</t>
        </is>
      </c>
      <c r="C23" s="14" t="inlineStr">
        <is>
          <t>0.66</t>
        </is>
      </c>
      <c r="D23" s="14" t="inlineStr">
        <is>
          <t>USD per 1M output tokens</t>
        </is>
      </c>
      <c r="E23" s="14" t="inlineStr">
        <is>
          <t>Official DeepSeek pricing page</t>
        </is>
      </c>
      <c r="F23" s="2" t="n"/>
      <c r="G23" s="2" t="n"/>
      <c r="H23" s="2" t="n"/>
    </row>
    <row r="24">
      <c r="A24" s="15" t="inlineStr">
        <is>
          <t>Sarvam</t>
        </is>
      </c>
      <c r="B24" s="15" t="inlineStr">
        <is>
          <t>Sarvam 105B input price</t>
        </is>
      </c>
      <c r="C24" s="15" t="inlineStr">
        <is>
          <t>29.28</t>
        </is>
      </c>
      <c r="D24" s="15" t="inlineStr">
        <is>
          <t>INR per 1M input tokens</t>
        </is>
      </c>
      <c r="E24" s="15" t="inlineStr">
        <is>
          <t>Official Sarvam pricing page</t>
        </is>
      </c>
      <c r="F24" s="2" t="n"/>
      <c r="G24" s="2" t="n"/>
      <c r="H24" s="2" t="n"/>
    </row>
    <row r="25">
      <c r="A25" s="14" t="inlineStr">
        <is>
          <t>Sarvam</t>
        </is>
      </c>
      <c r="B25" s="14" t="inlineStr">
        <is>
          <t>Sarvam 105B output price</t>
        </is>
      </c>
      <c r="C25" s="14" t="inlineStr">
        <is>
          <t>73.20</t>
        </is>
      </c>
      <c r="D25" s="14" t="inlineStr">
        <is>
          <t>INR per 1M output tokens</t>
        </is>
      </c>
      <c r="E25" s="14" t="inlineStr">
        <is>
          <t>Official Sarvam pricing page</t>
        </is>
      </c>
      <c r="F25" s="2" t="n"/>
      <c r="G25" s="2" t="n"/>
      <c r="H25" s="2" t="n"/>
    </row>
    <row r="26">
      <c r="A26" s="15" t="inlineStr">
        <is>
          <t>Fixed cost</t>
        </is>
      </c>
      <c r="B26" s="15" t="inlineStr">
        <is>
          <t>Hosting/CDN</t>
        </is>
      </c>
      <c r="C26" s="15" t="inlineStr">
        <is>
          <t>2000</t>
        </is>
      </c>
      <c r="D26" s="15" t="inlineStr">
        <is>
          <t>INR per month</t>
        </is>
      </c>
      <c r="E26" s="15" t="inlineStr">
        <is>
          <t>Lean paid beta assumption</t>
        </is>
      </c>
      <c r="F26" s="2" t="n"/>
      <c r="G26" s="2" t="n"/>
      <c r="H26" s="2" t="n"/>
    </row>
    <row r="27">
      <c r="A27" s="14" t="inlineStr">
        <is>
          <t>Fixed cost</t>
        </is>
      </c>
      <c r="B27" s="14" t="inlineStr">
        <is>
          <t>PostgreSQL/storage/backups</t>
        </is>
      </c>
      <c r="C27" s="14" t="inlineStr">
        <is>
          <t>3000</t>
        </is>
      </c>
      <c r="D27" s="14" t="inlineStr">
        <is>
          <t>INR per month</t>
        </is>
      </c>
      <c r="E27" s="14" t="inlineStr">
        <is>
          <t>Lean paid beta assumption</t>
        </is>
      </c>
      <c r="F27" s="2" t="n"/>
      <c r="G27" s="2" t="n"/>
      <c r="H27" s="2" t="n"/>
    </row>
    <row r="28">
      <c r="A28" s="15" t="inlineStr">
        <is>
          <t>Fixed cost</t>
        </is>
      </c>
      <c r="B28" s="15" t="inlineStr">
        <is>
          <t>Monitoring/logs/analytics</t>
        </is>
      </c>
      <c r="C28" s="15" t="inlineStr">
        <is>
          <t>1500</t>
        </is>
      </c>
      <c r="D28" s="15" t="inlineStr">
        <is>
          <t>INR per month</t>
        </is>
      </c>
      <c r="E28" s="15" t="inlineStr">
        <is>
          <t>Lean paid beta assumption</t>
        </is>
      </c>
      <c r="F28" s="2" t="n"/>
      <c r="G28" s="2" t="n"/>
      <c r="H28" s="2" t="n"/>
    </row>
    <row r="29">
      <c r="A29" s="14" t="inlineStr">
        <is>
          <t>Fixed cost</t>
        </is>
      </c>
      <c r="B29" s="14" t="inlineStr">
        <is>
          <t>Email infrastructure</t>
        </is>
      </c>
      <c r="C29" s="14" t="inlineStr">
        <is>
          <t>1000</t>
        </is>
      </c>
      <c r="D29" s="14" t="inlineStr">
        <is>
          <t>INR per month</t>
        </is>
      </c>
      <c r="E29" s="14" t="inlineStr">
        <is>
          <t>Lean paid beta assumption</t>
        </is>
      </c>
      <c r="F29" s="2" t="n"/>
      <c r="G29" s="2" t="n"/>
      <c r="H29" s="2" t="n"/>
    </row>
    <row r="30">
      <c r="A30" s="15" t="inlineStr">
        <is>
          <t>Fixed cost</t>
        </is>
      </c>
      <c r="B30" s="15" t="inlineStr">
        <is>
          <t>Domain/security/misc</t>
        </is>
      </c>
      <c r="C30" s="15" t="inlineStr">
        <is>
          <t>500</t>
        </is>
      </c>
      <c r="D30" s="15" t="inlineStr">
        <is>
          <t>INR per month</t>
        </is>
      </c>
      <c r="E30" s="15" t="inlineStr">
        <is>
          <t>Lean paid beta assumption</t>
        </is>
      </c>
      <c r="F30" s="2" t="n"/>
      <c r="G30" s="2" t="n"/>
      <c r="H30" s="2" t="n"/>
    </row>
    <row r="31">
      <c r="A31" s="14" t="inlineStr">
        <is>
          <t>Fixed cost</t>
        </is>
      </c>
      <c r="B31" s="14" t="inlineStr">
        <is>
          <t>Support/content ops reserve</t>
        </is>
      </c>
      <c r="C31" s="14" t="inlineStr">
        <is>
          <t>7000</t>
        </is>
      </c>
      <c r="D31" s="14" t="inlineStr">
        <is>
          <t>INR per month</t>
        </is>
      </c>
      <c r="E31" s="14" t="inlineStr">
        <is>
          <t>Lean paid beta assumption</t>
        </is>
      </c>
      <c r="F31" s="2" t="n"/>
      <c r="G31" s="2" t="n"/>
      <c r="H31" s="2" t="n"/>
    </row>
    <row r="32">
      <c r="A32" s="15" t="inlineStr">
        <is>
          <t>Fixed cost</t>
        </is>
      </c>
      <c r="B32" s="15" t="inlineStr">
        <is>
          <t>Total fixed cost</t>
        </is>
      </c>
      <c r="C32" s="15" t="inlineStr">
        <is>
          <t>15000</t>
        </is>
      </c>
      <c r="D32" s="15" t="inlineStr">
        <is>
          <t>INR per month</t>
        </is>
      </c>
      <c r="E32" s="15" t="inlineStr">
        <is>
          <t>Excludes market data license</t>
        </is>
      </c>
      <c r="F32" s="2" t="n"/>
      <c r="G32" s="2" t="n"/>
      <c r="H32" s="2" t="n"/>
    </row>
    <row r="33">
      <c r="A33" s="14" t="n"/>
      <c r="B33" s="14" t="n"/>
      <c r="C33" s="14" t="n"/>
      <c r="D33" s="14" t="n"/>
      <c r="E33" s="14" t="n"/>
      <c r="F33" s="2" t="n"/>
      <c r="G33" s="2" t="n"/>
      <c r="H33" s="2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9" customWidth="1" min="3" max="3"/>
    <col width="20" customWidth="1" min="4" max="4"/>
    <col width="20" customWidth="1" min="5" max="5"/>
    <col width="18" customWidth="1" min="6" max="6"/>
    <col width="19" customWidth="1" min="7" max="7"/>
    <col width="19" customWidth="1" min="8" max="8"/>
    <col width="19" customWidth="1" min="9" max="9"/>
    <col width="42" customWidth="1" min="10" max="10"/>
  </cols>
  <sheetData>
    <row r="1">
      <c r="A1" s="1" t="inlineStr">
        <is>
          <t>LLM Unit Costs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Per-query and per-user LLM economics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3" t="inlineStr">
        <is>
          <t>Model</t>
        </is>
      </c>
      <c r="B4" s="13" t="inlineStr">
        <is>
          <t>Input USD per 1M</t>
        </is>
      </c>
      <c r="C4" s="13" t="inlineStr">
        <is>
          <t>Output USD per 1M</t>
        </is>
      </c>
      <c r="D4" s="13" t="inlineStr">
        <is>
          <t>Cost per Query USD</t>
        </is>
      </c>
      <c r="E4" s="13" t="inlineStr">
        <is>
          <t>Cost per Query INR</t>
        </is>
      </c>
      <c r="F4" s="13" t="inlineStr">
        <is>
          <t>5 q/day/user INR</t>
        </is>
      </c>
      <c r="G4" s="13" t="inlineStr">
        <is>
          <t>10 q/day/user INR</t>
        </is>
      </c>
      <c r="H4" s="13" t="inlineStr">
        <is>
          <t>20 q/day/user INR</t>
        </is>
      </c>
      <c r="I4" s="13" t="inlineStr">
        <is>
          <t>50 q/day/user INR</t>
        </is>
      </c>
      <c r="J4" s="13" t="inlineStr">
        <is>
          <t>Recommendation</t>
        </is>
      </c>
    </row>
    <row r="5">
      <c r="A5" s="14" t="inlineStr">
        <is>
          <t>gpt-5-nano</t>
        </is>
      </c>
      <c r="B5" s="14" t="inlineStr">
        <is>
          <t>0.05</t>
        </is>
      </c>
      <c r="C5" s="14" t="inlineStr">
        <is>
          <t>0.40</t>
        </is>
      </c>
      <c r="D5" s="14" t="inlineStr">
        <is>
          <t>0.00098</t>
        </is>
      </c>
      <c r="E5" s="16" t="inlineStr">
        <is>
          <t>0.094</t>
        </is>
      </c>
      <c r="F5" s="16" t="inlineStr">
        <is>
          <t>10</t>
        </is>
      </c>
      <c r="G5" s="16" t="inlineStr">
        <is>
          <t>21</t>
        </is>
      </c>
      <c r="H5" s="16" t="inlineStr">
        <is>
          <t>41</t>
        </is>
      </c>
      <c r="I5" s="16" t="inlineStr">
        <is>
          <t>103</t>
        </is>
      </c>
      <c r="J5" s="14" t="inlineStr">
        <is>
          <t>Best for routing and cheap summaries</t>
        </is>
      </c>
    </row>
    <row r="6">
      <c r="A6" s="15" t="inlineStr">
        <is>
          <t>gpt-4o-mini</t>
        </is>
      </c>
      <c r="B6" s="15" t="inlineStr">
        <is>
          <t>0.15</t>
        </is>
      </c>
      <c r="C6" s="15" t="inlineStr">
        <is>
          <t>0.60</t>
        </is>
      </c>
      <c r="D6" s="15" t="inlineStr">
        <is>
          <t>0.00222</t>
        </is>
      </c>
      <c r="E6" s="17" t="inlineStr">
        <is>
          <t>0.212</t>
        </is>
      </c>
      <c r="F6" s="17" t="inlineStr">
        <is>
          <t>23</t>
        </is>
      </c>
      <c r="G6" s="17" t="inlineStr">
        <is>
          <t>47</t>
        </is>
      </c>
      <c r="H6" s="17" t="inlineStr">
        <is>
          <t>93</t>
        </is>
      </c>
      <c r="I6" s="17" t="inlineStr">
        <is>
          <t>234</t>
        </is>
      </c>
      <c r="J6" s="15" t="inlineStr">
        <is>
          <t>Best low-cost default for normal paid chat</t>
        </is>
      </c>
    </row>
    <row r="7">
      <c r="A7" s="14" t="inlineStr">
        <is>
          <t>gpt-5.6-luna</t>
        </is>
      </c>
      <c r="B7" s="14" t="inlineStr">
        <is>
          <t>0.20</t>
        </is>
      </c>
      <c r="C7" s="14" t="inlineStr">
        <is>
          <t>1.20</t>
        </is>
      </c>
      <c r="D7" s="14" t="inlineStr">
        <is>
          <t>0.00344</t>
        </is>
      </c>
      <c r="E7" s="16" t="inlineStr">
        <is>
          <t>0.329</t>
        </is>
      </c>
      <c r="F7" s="16" t="inlineStr">
        <is>
          <t>36</t>
        </is>
      </c>
      <c r="G7" s="16" t="inlineStr">
        <is>
          <t>72</t>
        </is>
      </c>
      <c r="H7" s="16" t="inlineStr">
        <is>
          <t>145</t>
        </is>
      </c>
      <c r="I7" s="16" t="inlineStr">
        <is>
          <t>362</t>
        </is>
      </c>
      <c r="J7" s="14" t="inlineStr">
        <is>
          <t>Better synthesis for Plus/Pro deep work</t>
        </is>
      </c>
    </row>
    <row r="8">
      <c r="A8" s="15" t="inlineStr">
        <is>
          <t>gpt-5.6-terra</t>
        </is>
      </c>
      <c r="B8" s="15" t="inlineStr">
        <is>
          <t>2.00</t>
        </is>
      </c>
      <c r="C8" s="15" t="inlineStr">
        <is>
          <t>12.00</t>
        </is>
      </c>
      <c r="D8" s="15" t="inlineStr">
        <is>
          <t>0.03440</t>
        </is>
      </c>
      <c r="E8" s="17" t="inlineStr">
        <is>
          <t>3.291</t>
        </is>
      </c>
      <c r="F8" s="17" t="inlineStr">
        <is>
          <t>362</t>
        </is>
      </c>
      <c r="G8" s="17" t="inlineStr">
        <is>
          <t>724</t>
        </is>
      </c>
      <c r="H8" s="17" t="inlineStr">
        <is>
          <t>1448</t>
        </is>
      </c>
      <c r="I8" s="17" t="inlineStr">
        <is>
          <t>3620</t>
        </is>
      </c>
      <c r="J8" s="15" t="inlineStr">
        <is>
          <t>Premium research only</t>
        </is>
      </c>
    </row>
    <row r="9">
      <c r="A9" s="14" t="inlineStr">
        <is>
          <t>gpt-4o</t>
        </is>
      </c>
      <c r="B9" s="14" t="inlineStr">
        <is>
          <t>2.50</t>
        </is>
      </c>
      <c r="C9" s="14" t="inlineStr">
        <is>
          <t>10.00</t>
        </is>
      </c>
      <c r="D9" s="14" t="inlineStr">
        <is>
          <t>0.03700</t>
        </is>
      </c>
      <c r="E9" s="16" t="inlineStr">
        <is>
          <t>3.540</t>
        </is>
      </c>
      <c r="F9" s="16" t="inlineStr">
        <is>
          <t>389</t>
        </is>
      </c>
      <c r="G9" s="16" t="inlineStr">
        <is>
          <t>779</t>
        </is>
      </c>
      <c r="H9" s="16" t="inlineStr">
        <is>
          <t>1557</t>
        </is>
      </c>
      <c r="I9" s="16" t="inlineStr">
        <is>
          <t>3893</t>
        </is>
      </c>
      <c r="J9" s="14" t="inlineStr">
        <is>
          <t>Avoid for routine use</t>
        </is>
      </c>
    </row>
    <row r="10">
      <c r="A10" s="15" t="inlineStr">
        <is>
          <t>gpt-4</t>
        </is>
      </c>
      <c r="B10" s="15" t="inlineStr">
        <is>
          <t>30.00</t>
        </is>
      </c>
      <c r="C10" s="15" t="inlineStr">
        <is>
          <t>60.00</t>
        </is>
      </c>
      <c r="D10" s="15" t="inlineStr">
        <is>
          <t>0.37200</t>
        </is>
      </c>
      <c r="E10" s="17" t="inlineStr">
        <is>
          <t>35.592</t>
        </is>
      </c>
      <c r="F10" s="17" t="inlineStr">
        <is>
          <t>4092</t>
        </is>
      </c>
      <c r="G10" s="17" t="inlineStr">
        <is>
          <t>8184</t>
        </is>
      </c>
      <c r="H10" s="17" t="inlineStr">
        <is>
          <t>16368</t>
        </is>
      </c>
      <c r="I10" s="17" t="inlineStr">
        <is>
          <t>40920</t>
        </is>
      </c>
      <c r="J10" s="15" t="inlineStr">
        <is>
          <t>Not viable for subscriptions</t>
        </is>
      </c>
    </row>
    <row r="11">
      <c r="A11" s="14" t="inlineStr">
        <is>
          <t>deepseek-v4-flash-offpeak</t>
        </is>
      </c>
      <c r="B11" s="14" t="inlineStr">
        <is>
          <t>0.22</t>
        </is>
      </c>
      <c r="C11" s="14" t="inlineStr">
        <is>
          <t>0.66</t>
        </is>
      </c>
      <c r="D11" s="14" t="inlineStr">
        <is>
          <t>0.00299</t>
        </is>
      </c>
      <c r="E11" s="16" t="inlineStr">
        <is>
          <t>0.286</t>
        </is>
      </c>
      <c r="F11" s="16" t="inlineStr">
        <is>
          <t>31</t>
        </is>
      </c>
      <c r="G11" s="16" t="inlineStr">
        <is>
          <t>63</t>
        </is>
      </c>
      <c r="H11" s="16" t="inlineStr">
        <is>
          <t>126</t>
        </is>
      </c>
      <c r="I11" s="16" t="inlineStr">
        <is>
          <t>315</t>
        </is>
      </c>
      <c r="J11" s="14" t="inlineStr">
        <is>
          <t>Batch/offline fallback</t>
        </is>
      </c>
    </row>
    <row r="12">
      <c r="A12" s="15" t="n"/>
      <c r="B12" s="15" t="n"/>
      <c r="C12" s="15" t="n"/>
      <c r="D12" s="15" t="n"/>
      <c r="E12" s="17" t="n"/>
      <c r="F12" s="17" t="n"/>
      <c r="G12" s="17" t="n"/>
      <c r="H12" s="17" t="n"/>
      <c r="I12" s="17" t="n"/>
      <c r="J12" s="15" t="n"/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3" customWidth="1" min="3" max="3"/>
    <col width="42" customWidth="1" min="4" max="4"/>
    <col width="23" customWidth="1" min="5" max="5"/>
    <col width="13" customWidth="1" min="6" max="6"/>
    <col width="42" customWidth="1" min="7" max="7"/>
    <col width="10" customWidth="1" min="8" max="8"/>
  </cols>
  <sheetData>
    <row r="1">
      <c r="A1" s="1" t="inlineStr">
        <is>
          <t>Feature COGS Matrix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Feature-level cost drivers, routes, and controls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Feature Group</t>
        </is>
      </c>
      <c r="B4" s="13" t="inlineStr">
        <is>
          <t>Included Features</t>
        </is>
      </c>
      <c r="C4" s="13" t="inlineStr">
        <is>
          <t>Primary Cost Driver</t>
        </is>
      </c>
      <c r="D4" s="13" t="inlineStr">
        <is>
          <t>Recommended Model Route</t>
        </is>
      </c>
      <c r="E4" s="13" t="inlineStr">
        <is>
          <t>Recommended Tier Gate</t>
        </is>
      </c>
      <c r="F4" s="13" t="inlineStr">
        <is>
          <t>Cost Risk</t>
        </is>
      </c>
      <c r="G4" s="13" t="inlineStr">
        <is>
          <t>Control Required</t>
        </is>
      </c>
      <c r="H4" s="2" t="n"/>
    </row>
    <row r="5">
      <c r="A5" s="14" t="inlineStr">
        <is>
          <t>Web app and subscriptions</t>
        </is>
      </c>
      <c r="B5" s="14" t="inlineStr">
        <is>
          <t>Landing pages auth payments profile</t>
        </is>
      </c>
      <c r="C5" s="14" t="inlineStr">
        <is>
          <t>Hosting auth analytics</t>
        </is>
      </c>
      <c r="D5" s="14" t="inlineStr">
        <is>
          <t>No LLM</t>
        </is>
      </c>
      <c r="E5" s="14" t="inlineStr">
        <is>
          <t>All</t>
        </is>
      </c>
      <c r="F5" s="14" t="inlineStr">
        <is>
          <t>Low</t>
        </is>
      </c>
      <c r="G5" s="14" t="inlineStr">
        <is>
          <t>Monitor infra and payment failures</t>
        </is>
      </c>
      <c r="H5" s="2" t="n"/>
    </row>
    <row r="6">
      <c r="A6" s="15" t="inlineStr">
        <is>
          <t>Talk 2 Stocks chat</t>
        </is>
      </c>
      <c r="B6" s="15" t="inlineStr">
        <is>
          <t>Natural-language Q&amp;A over stocks sectors indices</t>
        </is>
      </c>
      <c r="C6" s="15" t="inlineStr">
        <is>
          <t>LLM tokens DB reads</t>
        </is>
      </c>
      <c r="D6" s="15" t="inlineStr">
        <is>
          <t>gpt-4o-mini default with gpt-5-nano router</t>
        </is>
      </c>
      <c r="E6" s="15" t="inlineStr">
        <is>
          <t>Starter+</t>
        </is>
      </c>
      <c r="F6" s="15" t="inlineStr">
        <is>
          <t>Medium</t>
        </is>
      </c>
      <c r="G6" s="15" t="inlineStr">
        <is>
          <t>Per-user token ledger and quota</t>
        </is>
      </c>
      <c r="H6" s="2" t="n"/>
    </row>
    <row r="7">
      <c r="A7" s="14" t="inlineStr">
        <is>
          <t>Intent routing</t>
        </is>
      </c>
      <c r="B7" s="14" t="inlineStr">
        <is>
          <t>Symbol intent command extraction</t>
        </is>
      </c>
      <c r="C7" s="14" t="inlineStr">
        <is>
          <t>Small JSON LLM calls</t>
        </is>
      </c>
      <c r="D7" s="14" t="inlineStr">
        <is>
          <t>gpt-5-nano</t>
        </is>
      </c>
      <c r="E7" s="14" t="inlineStr">
        <is>
          <t>All</t>
        </is>
      </c>
      <c r="F7" s="14" t="inlineStr">
        <is>
          <t>Low</t>
        </is>
      </c>
      <c r="G7" s="14" t="inlineStr">
        <is>
          <t>Strict schema and deterministic fallback</t>
        </is>
      </c>
      <c r="H7" s="2" t="n"/>
    </row>
    <row r="8">
      <c r="A8" s="15" t="inlineStr">
        <is>
          <t>Stock deep dive</t>
        </is>
      </c>
      <c r="B8" s="15" t="inlineStr">
        <is>
          <t>Technicals fundamentals catalysts risks</t>
        </is>
      </c>
      <c r="C8" s="15" t="inlineStr">
        <is>
          <t>LLM synthesis plus data queries</t>
        </is>
      </c>
      <c r="D8" s="15" t="inlineStr">
        <is>
          <t>gpt-4o-mini; Luna for Plus/Pro</t>
        </is>
      </c>
      <c r="E8" s="15" t="inlineStr">
        <is>
          <t>Starter+</t>
        </is>
      </c>
      <c r="F8" s="15" t="inlineStr">
        <is>
          <t>Medium</t>
        </is>
      </c>
      <c r="G8" s="15" t="inlineStr">
        <is>
          <t>Evidence-pack size limit</t>
        </is>
      </c>
      <c r="H8" s="2" t="n"/>
    </row>
    <row r="9">
      <c r="A9" s="14" t="inlineStr">
        <is>
          <t>Fundamental research</t>
        </is>
      </c>
      <c r="B9" s="14" t="inlineStr">
        <is>
          <t>Results filings concalls valuation narrative</t>
        </is>
      </c>
      <c r="C9" s="14" t="inlineStr">
        <is>
          <t>Document context and synthesis</t>
        </is>
      </c>
      <c r="D9" s="14" t="inlineStr">
        <is>
          <t>Luna; Terra only premium</t>
        </is>
      </c>
      <c r="E9" s="14" t="inlineStr">
        <is>
          <t>Plus/Pro</t>
        </is>
      </c>
      <c r="F9" s="14" t="inlineStr">
        <is>
          <t>High</t>
        </is>
      </c>
      <c r="G9" s="14" t="inlineStr">
        <is>
          <t>Deep-research quota</t>
        </is>
      </c>
      <c r="H9" s="2" t="n"/>
    </row>
    <row r="10">
      <c r="A10" s="15" t="inlineStr">
        <is>
          <t>Technical and stage analysis</t>
        </is>
      </c>
      <c r="B10" s="15" t="inlineStr">
        <is>
          <t>Stage RS RSI VCP trend pivots</t>
        </is>
      </c>
      <c r="C10" s="15" t="inlineStr">
        <is>
          <t>Compute and charts</t>
        </is>
      </c>
      <c r="D10" s="15" t="inlineStr">
        <is>
          <t>Deterministic first</t>
        </is>
      </c>
      <c r="E10" s="15" t="inlineStr">
        <is>
          <t>All</t>
        </is>
      </c>
      <c r="F10" s="15" t="inlineStr">
        <is>
          <t>Low</t>
        </is>
      </c>
      <c r="G10" s="15" t="inlineStr">
        <is>
          <t>Cache calculations</t>
        </is>
      </c>
      <c r="H10" s="2" t="n"/>
    </row>
    <row r="11">
      <c r="A11" s="14" t="inlineStr">
        <is>
          <t>Peer comparison</t>
        </is>
      </c>
      <c r="B11" s="14" t="inlineStr">
        <is>
          <t>2-10 stock matrix and verdict</t>
        </is>
      </c>
      <c r="C11" s="14" t="inlineStr">
        <is>
          <t>Large evidence pack</t>
        </is>
      </c>
      <c r="D11" s="14" t="inlineStr">
        <is>
          <t>gpt-4o-mini or Luna</t>
        </is>
      </c>
      <c r="E11" s="14" t="inlineStr">
        <is>
          <t>Plus+</t>
        </is>
      </c>
      <c r="F11" s="14" t="inlineStr">
        <is>
          <t>Medium</t>
        </is>
      </c>
      <c r="G11" s="14" t="inlineStr">
        <is>
          <t>Limit symbol count by tier</t>
        </is>
      </c>
      <c r="H11" s="2" t="n"/>
    </row>
    <row r="12">
      <c r="A12" s="15" t="inlineStr">
        <is>
          <t>Sector and index intelligence</t>
        </is>
      </c>
      <c r="B12" s="15" t="inlineStr">
        <is>
          <t>Breadth rotation flows leaders laggards</t>
        </is>
      </c>
      <c r="C12" s="15" t="inlineStr">
        <is>
          <t>Data refresh plus synthesis</t>
        </is>
      </c>
      <c r="D12" s="15" t="inlineStr">
        <is>
          <t>Deterministic plus gpt-4o-mini</t>
        </is>
      </c>
      <c r="E12" s="15" t="inlineStr">
        <is>
          <t>Starter+</t>
        </is>
      </c>
      <c r="F12" s="15" t="inlineStr">
        <is>
          <t>Low/Medium</t>
        </is>
      </c>
      <c r="G12" s="15" t="inlineStr">
        <is>
          <t>Batch reports</t>
        </is>
      </c>
      <c r="H12" s="2" t="n"/>
    </row>
    <row r="13">
      <c r="A13" s="14" t="inlineStr">
        <is>
          <t>EOD and weekend reports</t>
        </is>
      </c>
      <c r="B13" s="14" t="inlineStr">
        <is>
          <t>Daily/weekly market reports</t>
        </is>
      </c>
      <c r="C13" s="14" t="inlineStr">
        <is>
          <t>Report generation email storage</t>
        </is>
      </c>
      <c r="D13" s="14" t="inlineStr">
        <is>
          <t>DeepSeek Flash or Luna batch</t>
        </is>
      </c>
      <c r="E13" s="14" t="inlineStr">
        <is>
          <t>Plus+</t>
        </is>
      </c>
      <c r="F13" s="14" t="inlineStr">
        <is>
          <t>Medium</t>
        </is>
      </c>
      <c r="G13" s="14" t="inlineStr">
        <is>
          <t>Batch/off-peak generation</t>
        </is>
      </c>
      <c r="H13" s="2" t="n"/>
    </row>
    <row r="14">
      <c r="A14" s="15" t="inlineStr">
        <is>
          <t>Watchlists</t>
        </is>
      </c>
      <c r="B14" s="15" t="inlineStr">
        <is>
          <t>Saved names reasons freshness</t>
        </is>
      </c>
      <c r="C14" s="15" t="inlineStr">
        <is>
          <t>DB and scheduled checks</t>
        </is>
      </c>
      <c r="D14" s="15" t="inlineStr">
        <is>
          <t>No LLM except summaries</t>
        </is>
      </c>
      <c r="E14" s="15" t="inlineStr">
        <is>
          <t>Starter+</t>
        </is>
      </c>
      <c r="F14" s="15" t="inlineStr">
        <is>
          <t>Low</t>
        </is>
      </c>
      <c r="G14" s="15" t="inlineStr">
        <is>
          <t>Limit watchlist count</t>
        </is>
      </c>
      <c r="H14" s="2" t="n"/>
    </row>
    <row r="15">
      <c r="A15" s="14" t="inlineStr">
        <is>
          <t>Alerts and intraday monitoring</t>
        </is>
      </c>
      <c r="B15" s="14" t="inlineStr">
        <is>
          <t>Price RSI stage breakout event alerts</t>
        </is>
      </c>
      <c r="C15" s="14" t="inlineStr">
        <is>
          <t>Polling data email/push</t>
        </is>
      </c>
      <c r="D15" s="14" t="inlineStr">
        <is>
          <t>LLM only for setup parsing</t>
        </is>
      </c>
      <c r="E15" s="14" t="inlineStr">
        <is>
          <t>Plus/Pro</t>
        </is>
      </c>
      <c r="F15" s="14" t="inlineStr">
        <is>
          <t>Medium</t>
        </is>
      </c>
      <c r="G15" s="14" t="inlineStr">
        <is>
          <t>Polling frequency and alert caps</t>
        </is>
      </c>
      <c r="H15" s="2" t="n"/>
    </row>
    <row r="16">
      <c r="A16" s="15" t="inlineStr">
        <is>
          <t>Portfolio assessment</t>
        </is>
      </c>
      <c r="B16" s="15" t="inlineStr">
        <is>
          <t>CSV upload holdings risk add/trim/exit</t>
        </is>
      </c>
      <c r="C16" s="15" t="inlineStr">
        <is>
          <t>Analytics plus report synthesis</t>
        </is>
      </c>
      <c r="D16" s="15" t="inlineStr">
        <is>
          <t>Luna for Pro</t>
        </is>
      </c>
      <c r="E16" s="15" t="inlineStr">
        <is>
          <t>Pro+</t>
        </is>
      </c>
      <c r="F16" s="15" t="inlineStr">
        <is>
          <t>Medium</t>
        </is>
      </c>
      <c r="G16" s="15" t="inlineStr">
        <is>
          <t>Portfolio refresh quota</t>
        </is>
      </c>
      <c r="H16" s="2" t="n"/>
    </row>
    <row r="17">
      <c r="A17" s="14" t="inlineStr">
        <is>
          <t>Report export and sharing</t>
        </is>
      </c>
      <c r="B17" s="14" t="inlineStr">
        <is>
          <t>HTML markdown PDF/email-ready output</t>
        </is>
      </c>
      <c r="C17" s="14" t="inlineStr">
        <is>
          <t>Storage email rendering</t>
        </is>
      </c>
      <c r="D17" s="14" t="inlineStr">
        <is>
          <t>Deterministic plus optional cover note</t>
        </is>
      </c>
      <c r="E17" s="14" t="inlineStr">
        <is>
          <t>Plus+</t>
        </is>
      </c>
      <c r="F17" s="14" t="inlineStr">
        <is>
          <t>Low/Medium</t>
        </is>
      </c>
      <c r="G17" s="14" t="inlineStr">
        <is>
          <t>Export count cap</t>
        </is>
      </c>
      <c r="H17" s="2" t="n"/>
    </row>
    <row r="18">
      <c r="A18" s="15" t="inlineStr">
        <is>
          <t>Email delivery</t>
        </is>
      </c>
      <c r="B18" s="15" t="inlineStr">
        <is>
          <t>Send reports and alerts</t>
        </is>
      </c>
      <c r="C18" s="15" t="inlineStr">
        <is>
          <t>SMTP/API volume</t>
        </is>
      </c>
      <c r="D18" s="15" t="inlineStr">
        <is>
          <t>No LLM required</t>
        </is>
      </c>
      <c r="E18" s="15" t="inlineStr">
        <is>
          <t>Plus+</t>
        </is>
      </c>
      <c r="F18" s="15" t="inlineStr">
        <is>
          <t>Low</t>
        </is>
      </c>
      <c r="G18" s="15" t="inlineStr">
        <is>
          <t>Bounce and quota monitoring</t>
        </is>
      </c>
      <c r="H18" s="2" t="n"/>
    </row>
    <row r="19">
      <c r="A19" s="14" t="inlineStr">
        <is>
          <t>Voice briefing</t>
        </is>
      </c>
      <c r="B19" s="14" t="inlineStr">
        <is>
          <t>STT TTS spoken Q&amp;A</t>
        </is>
      </c>
      <c r="C19" s="14" t="inlineStr">
        <is>
          <t>Audio minutes/chars</t>
        </is>
      </c>
      <c r="D19" s="14" t="inlineStr">
        <is>
          <t>Sarvam or OpenAI speech</t>
        </is>
      </c>
      <c r="E19" s="14" t="inlineStr">
        <is>
          <t>Pro+</t>
        </is>
      </c>
      <c r="F19" s="14" t="inlineStr">
        <is>
          <t>Medium/High</t>
        </is>
      </c>
      <c r="G19" s="14" t="inlineStr">
        <is>
          <t>Minutes cap</t>
        </is>
      </c>
      <c r="H19" s="2" t="n"/>
    </row>
    <row r="20">
      <c r="A20" s="15" t="inlineStr">
        <is>
          <t>Evidence trail and report QA</t>
        </is>
      </c>
      <c r="B20" s="15" t="inlineStr">
        <is>
          <t>Source freshness validation</t>
        </is>
      </c>
      <c r="C20" s="15" t="inlineStr">
        <is>
          <t>Storage and validation jobs</t>
        </is>
      </c>
      <c r="D20" s="15" t="inlineStr">
        <is>
          <t>Mostly deterministic</t>
        </is>
      </c>
      <c r="E20" s="15" t="inlineStr">
        <is>
          <t>All</t>
        </is>
      </c>
      <c r="F20" s="15" t="inlineStr">
        <is>
          <t>Low</t>
        </is>
      </c>
      <c r="G20" s="15" t="inlineStr">
        <is>
          <t>QA checklist and stale data labels</t>
        </is>
      </c>
      <c r="H20" s="2" t="n"/>
    </row>
    <row r="21">
      <c r="A21" s="14" t="inlineStr">
        <is>
          <t>Admin observability</t>
        </is>
      </c>
      <c r="B21" s="14" t="inlineStr">
        <is>
          <t>Usage cost errors users plans</t>
        </is>
      </c>
      <c r="C21" s="14" t="inlineStr">
        <is>
          <t>Logs database analytics</t>
        </is>
      </c>
      <c r="D21" s="14" t="inlineStr">
        <is>
          <t>No LLM</t>
        </is>
      </c>
      <c r="E21" s="14" t="inlineStr">
        <is>
          <t>Internal</t>
        </is>
      </c>
      <c r="F21" s="14" t="inlineStr">
        <is>
          <t>Low</t>
        </is>
      </c>
      <c r="G21" s="14" t="inlineStr">
        <is>
          <t>Budget circuit breakers</t>
        </is>
      </c>
      <c r="H21" s="2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2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0" customWidth="1" min="3" max="3"/>
    <col width="10" customWidth="1" min="4" max="4"/>
    <col width="24" customWidth="1" min="5" max="5"/>
    <col width="18" customWidth="1" min="6" max="6"/>
    <col width="24" customWidth="1" min="7" max="7"/>
    <col width="20" customWidth="1" min="8" max="8"/>
    <col width="42" customWidth="1" min="9" max="9"/>
    <col width="13" customWidth="1" min="10" max="10"/>
    <col width="32" customWidth="1" min="11" max="11"/>
  </cols>
  <sheetData>
    <row r="1">
      <c r="A1" s="1" t="inlineStr">
        <is>
          <t>Paid Features and Reports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Monetizable product surfaces, report packs, and tier gates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3" t="inlineStr">
        <is>
          <t>Category</t>
        </is>
      </c>
      <c r="B4" s="13" t="inlineStr">
        <is>
          <t>Feature or Report</t>
        </is>
      </c>
      <c r="C4" s="13" t="inlineStr">
        <is>
          <t>Free</t>
        </is>
      </c>
      <c r="D4" s="13" t="inlineStr">
        <is>
          <t>Starter</t>
        </is>
      </c>
      <c r="E4" s="13" t="inlineStr">
        <is>
          <t>Plus</t>
        </is>
      </c>
      <c r="F4" s="13" t="inlineStr">
        <is>
          <t>Pro</t>
        </is>
      </c>
      <c r="G4" s="13" t="inlineStr">
        <is>
          <t>Power</t>
        </is>
      </c>
      <c r="H4" s="13" t="inlineStr">
        <is>
          <t>Frequency / Limit</t>
        </is>
      </c>
      <c r="I4" s="13" t="inlineStr">
        <is>
          <t>Monetization Rationale</t>
        </is>
      </c>
      <c r="J4" s="13" t="inlineStr">
        <is>
          <t>Cost Risk</t>
        </is>
      </c>
      <c r="K4" s="13" t="inlineStr">
        <is>
          <t>Control Required</t>
        </is>
      </c>
    </row>
    <row r="5">
      <c r="A5" s="14" t="inlineStr">
        <is>
          <t>Feature</t>
        </is>
      </c>
      <c r="B5" s="14" t="inlineStr">
        <is>
          <t>Basic Talk 2 Stocks chat</t>
        </is>
      </c>
      <c r="C5" s="14" t="inlineStr">
        <is>
          <t>Capped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Daily quota</t>
        </is>
      </c>
      <c r="I5" s="14" t="inlineStr">
        <is>
          <t>Acquisition and daily engagement</t>
        </is>
      </c>
      <c r="J5" s="14" t="inlineStr">
        <is>
          <t>Medium</t>
        </is>
      </c>
      <c r="K5" s="14" t="inlineStr">
        <is>
          <t>Per-user token quota</t>
        </is>
      </c>
    </row>
    <row r="6">
      <c r="A6" s="15" t="inlineStr">
        <is>
          <t>Feature</t>
        </is>
      </c>
      <c r="B6" s="15" t="inlineStr">
        <is>
          <t>Higher daily chat quota</t>
        </is>
      </c>
      <c r="C6" s="15" t="inlineStr">
        <is>
          <t>No</t>
        </is>
      </c>
      <c r="D6" s="15" t="inlineStr">
        <is>
          <t>10/day</t>
        </is>
      </c>
      <c r="E6" s="15" t="inlineStr">
        <is>
          <t>20/day</t>
        </is>
      </c>
      <c r="F6" s="15" t="inlineStr">
        <is>
          <t>50/day</t>
        </is>
      </c>
      <c r="G6" s="15" t="inlineStr">
        <is>
          <t>Fair-use</t>
        </is>
      </c>
      <c r="H6" s="15" t="inlineStr">
        <is>
          <t>Monthly plan quota</t>
        </is>
      </c>
      <c r="I6" s="15" t="inlineStr">
        <is>
          <t>Direct usage monetization</t>
        </is>
      </c>
      <c r="J6" s="15" t="inlineStr">
        <is>
          <t>Medium</t>
        </is>
      </c>
      <c r="K6" s="15" t="inlineStr">
        <is>
          <t>Hard caps and throttling</t>
        </is>
      </c>
    </row>
    <row r="7">
      <c r="A7" s="14" t="inlineStr">
        <is>
          <t>Feature</t>
        </is>
      </c>
      <c r="B7" s="14" t="inlineStr">
        <is>
          <t>Follow-up context memory</t>
        </is>
      </c>
      <c r="C7" s="14" t="inlineStr">
        <is>
          <t>No</t>
        </is>
      </c>
      <c r="D7" s="14" t="inlineStr">
        <is>
          <t>Short</t>
        </is>
      </c>
      <c r="E7" s="14" t="inlineStr">
        <is>
          <t>Medium</t>
        </is>
      </c>
      <c r="F7" s="14" t="inlineStr">
        <is>
          <t>Long</t>
        </is>
      </c>
      <c r="G7" s="14" t="inlineStr">
        <is>
          <t>Long + saved sessions</t>
        </is>
      </c>
      <c r="H7" s="14" t="inlineStr">
        <is>
          <t>Session-level</t>
        </is>
      </c>
      <c r="I7" s="14" t="inlineStr">
        <is>
          <t>Retention and quality</t>
        </is>
      </c>
      <c r="J7" s="14" t="inlineStr">
        <is>
          <t>Medium</t>
        </is>
      </c>
      <c r="K7" s="14" t="inlineStr">
        <is>
          <t>Context compaction</t>
        </is>
      </c>
    </row>
    <row r="8">
      <c r="A8" s="15" t="inlineStr">
        <is>
          <t>Feature</t>
        </is>
      </c>
      <c r="B8" s="15" t="inlineStr">
        <is>
          <t>Watchlists</t>
        </is>
      </c>
      <c r="C8" s="15" t="inlineStr">
        <is>
          <t>1</t>
        </is>
      </c>
      <c r="D8" s="15" t="inlineStr">
        <is>
          <t>2</t>
        </is>
      </c>
      <c r="E8" s="15" t="inlineStr">
        <is>
          <t>5</t>
        </is>
      </c>
      <c r="F8" s="15" t="inlineStr">
        <is>
          <t>15</t>
        </is>
      </c>
      <c r="G8" s="15" t="inlineStr">
        <is>
          <t>Custom</t>
        </is>
      </c>
      <c r="H8" s="15" t="inlineStr">
        <is>
          <t>Per account</t>
        </is>
      </c>
      <c r="I8" s="15" t="inlineStr">
        <is>
          <t>High retention with low COGS</t>
        </is>
      </c>
      <c r="J8" s="15" t="inlineStr">
        <is>
          <t>Low</t>
        </is>
      </c>
      <c r="K8" s="15" t="inlineStr">
        <is>
          <t>Watchlist count caps</t>
        </is>
      </c>
    </row>
    <row r="9">
      <c r="A9" s="14" t="inlineStr">
        <is>
          <t>Feature</t>
        </is>
      </c>
      <c r="B9" s="14" t="inlineStr">
        <is>
          <t>Stage 2 tracker access</t>
        </is>
      </c>
      <c r="C9" s="14" t="inlineStr">
        <is>
          <t>Preview</t>
        </is>
      </c>
      <c r="D9" s="14" t="inlineStr">
        <is>
          <t>Yes</t>
        </is>
      </c>
      <c r="E9" s="14" t="inlineStr">
        <is>
          <t>Yes</t>
        </is>
      </c>
      <c r="F9" s="14" t="inlineStr">
        <is>
          <t>Yes</t>
        </is>
      </c>
      <c r="G9" s="14" t="inlineStr">
        <is>
          <t>Yes</t>
        </is>
      </c>
      <c r="H9" s="14" t="inlineStr">
        <is>
          <t>Daily/EOD</t>
        </is>
      </c>
      <c r="I9" s="14" t="inlineStr">
        <is>
          <t>Differentiated Agent Adda signal surface</t>
        </is>
      </c>
      <c r="J9" s="14" t="inlineStr">
        <is>
          <t>Low</t>
        </is>
      </c>
      <c r="K9" s="14" t="inlineStr">
        <is>
          <t>Delayed preview for Free</t>
        </is>
      </c>
    </row>
    <row r="10">
      <c r="A10" s="15" t="inlineStr">
        <is>
          <t>Feature</t>
        </is>
      </c>
      <c r="B10" s="15" t="inlineStr">
        <is>
          <t>Advanced screeners</t>
        </is>
      </c>
      <c r="C10" s="15" t="inlineStr">
        <is>
          <t>No</t>
        </is>
      </c>
      <c r="D10" s="15" t="inlineStr">
        <is>
          <t>Limited</t>
        </is>
      </c>
      <c r="E10" s="15" t="inlineStr">
        <is>
          <t>Yes</t>
        </is>
      </c>
      <c r="F10" s="15" t="inlineStr">
        <is>
          <t>Yes</t>
        </is>
      </c>
      <c r="G10" s="15" t="inlineStr">
        <is>
          <t>Yes</t>
        </is>
      </c>
      <c r="H10" s="15" t="inlineStr">
        <is>
          <t>Daily/EOD</t>
        </is>
      </c>
      <c r="I10" s="15" t="inlineStr">
        <is>
          <t>Strong paid conversion feature</t>
        </is>
      </c>
      <c r="J10" s="15" t="inlineStr">
        <is>
          <t>Low</t>
        </is>
      </c>
      <c r="K10" s="15" t="inlineStr">
        <is>
          <t>Feature flags</t>
        </is>
      </c>
    </row>
    <row r="11">
      <c r="A11" s="14" t="inlineStr">
        <is>
          <t>Feature</t>
        </is>
      </c>
      <c r="B11" s="14" t="inlineStr">
        <is>
          <t>Peer comparison</t>
        </is>
      </c>
      <c r="C11" s="14" t="inlineStr">
        <is>
          <t>No</t>
        </is>
      </c>
      <c r="D11" s="14" t="inlineStr">
        <is>
          <t>2 stocks</t>
        </is>
      </c>
      <c r="E11" s="14" t="inlineStr">
        <is>
          <t>5 stocks</t>
        </is>
      </c>
      <c r="F11" s="14" t="inlineStr">
        <is>
          <t>10 stocks</t>
        </is>
      </c>
      <c r="G11" s="14" t="inlineStr">
        <is>
          <t>Baskets</t>
        </is>
      </c>
      <c r="H11" s="14" t="inlineStr">
        <is>
          <t>On demand</t>
        </is>
      </c>
      <c r="I11" s="14" t="inlineStr">
        <is>
          <t>Clear tier boundary</t>
        </is>
      </c>
      <c r="J11" s="14" t="inlineStr">
        <is>
          <t>Medium</t>
        </is>
      </c>
      <c r="K11" s="14" t="inlineStr">
        <is>
          <t>Symbol count cap</t>
        </is>
      </c>
    </row>
    <row r="12">
      <c r="A12" s="15" t="inlineStr">
        <is>
          <t>Feature</t>
        </is>
      </c>
      <c r="B12" s="15" t="inlineStr">
        <is>
          <t>Portfolio upload</t>
        </is>
      </c>
      <c r="C12" s="15" t="inlineStr">
        <is>
          <t>No</t>
        </is>
      </c>
      <c r="D12" s="15" t="inlineStr">
        <is>
          <t>No</t>
        </is>
      </c>
      <c r="E12" s="15" t="inlineStr">
        <is>
          <t>Lite</t>
        </is>
      </c>
      <c r="F12" s="15" t="inlineStr">
        <is>
          <t>Full</t>
        </is>
      </c>
      <c r="G12" s="15" t="inlineStr">
        <is>
          <t>Full + history</t>
        </is>
      </c>
      <c r="H12" s="15" t="inlineStr">
        <is>
          <t>Monthly/weekly</t>
        </is>
      </c>
      <c r="I12" s="15" t="inlineStr">
        <is>
          <t>Strong Pro upsell</t>
        </is>
      </c>
      <c r="J12" s="15" t="inlineStr">
        <is>
          <t>Medium</t>
        </is>
      </c>
      <c r="K12" s="15" t="inlineStr">
        <is>
          <t>Upload and refresh caps</t>
        </is>
      </c>
    </row>
    <row r="13">
      <c r="A13" s="14" t="inlineStr">
        <is>
          <t>Feature</t>
        </is>
      </c>
      <c r="B13" s="14" t="inlineStr">
        <is>
          <t>Portfolio sell/add/trim review</t>
        </is>
      </c>
      <c r="C13" s="14" t="inlineStr">
        <is>
          <t>No</t>
        </is>
      </c>
      <c r="D13" s="14" t="inlineStr">
        <is>
          <t>No</t>
        </is>
      </c>
      <c r="E13" s="14" t="inlineStr">
        <is>
          <t>Monthly</t>
        </is>
      </c>
      <c r="F13" s="14" t="inlineStr">
        <is>
          <t>Weekly</t>
        </is>
      </c>
      <c r="G13" s="14" t="inlineStr">
        <is>
          <t>On demand</t>
        </is>
      </c>
      <c r="H13" s="14" t="inlineStr">
        <is>
          <t>Quota-based</t>
        </is>
      </c>
      <c r="I13" s="14" t="inlineStr">
        <is>
          <t>High willingness-to-pay</t>
        </is>
      </c>
      <c r="J13" s="14" t="inlineStr">
        <is>
          <t>Medium</t>
        </is>
      </c>
      <c r="K13" s="14" t="inlineStr">
        <is>
          <t>Deep-review quota</t>
        </is>
      </c>
    </row>
    <row r="14">
      <c r="A14" s="15" t="inlineStr">
        <is>
          <t>Feature</t>
        </is>
      </c>
      <c r="B14" s="15" t="inlineStr">
        <is>
          <t>Alert subscriptions</t>
        </is>
      </c>
      <c r="C14" s="15" t="inlineStr">
        <is>
          <t>No</t>
        </is>
      </c>
      <c r="D14" s="15" t="inlineStr">
        <is>
          <t>EOD</t>
        </is>
      </c>
      <c r="E14" s="15" t="inlineStr">
        <is>
          <t>EOD + limited intraday</t>
        </is>
      </c>
      <c r="F14" s="15" t="inlineStr">
        <is>
          <t>Intraday + email</t>
        </is>
      </c>
      <c r="G14" s="15" t="inlineStr">
        <is>
          <t>Advanced multi-channel</t>
        </is>
      </c>
      <c r="H14" s="15" t="inlineStr">
        <is>
          <t>Plan-based</t>
        </is>
      </c>
      <c r="I14" s="15" t="inlineStr">
        <is>
          <t>Recurring utility</t>
        </is>
      </c>
      <c r="J14" s="15" t="inlineStr">
        <is>
          <t>Medium/High</t>
        </is>
      </c>
      <c r="K14" s="15" t="inlineStr">
        <is>
          <t>Frequency and channel caps</t>
        </is>
      </c>
    </row>
    <row r="15">
      <c r="A15" s="14" t="inlineStr">
        <is>
          <t>Feature</t>
        </is>
      </c>
      <c r="B15" s="14" t="inlineStr">
        <is>
          <t>Email report delivery</t>
        </is>
      </c>
      <c r="C15" s="14" t="inlineStr">
        <is>
          <t>No</t>
        </is>
      </c>
      <c r="D15" s="14" t="inlineStr">
        <is>
          <t>No</t>
        </is>
      </c>
      <c r="E15" s="14" t="inlineStr">
        <is>
          <t>Yes</t>
        </is>
      </c>
      <c r="F15" s="14" t="inlineStr">
        <is>
          <t>Yes</t>
        </is>
      </c>
      <c r="G15" s="14" t="inlineStr">
        <is>
          <t>Yes</t>
        </is>
      </c>
      <c r="H15" s="14" t="inlineStr">
        <is>
          <t>Plan-based</t>
        </is>
      </c>
      <c r="I15" s="14" t="inlineStr">
        <is>
          <t>Convenience and distribution</t>
        </is>
      </c>
      <c r="J15" s="14" t="inlineStr">
        <is>
          <t>Low</t>
        </is>
      </c>
      <c r="K15" s="14" t="inlineStr">
        <is>
          <t>Bounce and send limits</t>
        </is>
      </c>
    </row>
    <row r="16">
      <c r="A16" s="15" t="inlineStr">
        <is>
          <t>Feature</t>
        </is>
      </c>
      <c r="B16" s="15" t="inlineStr">
        <is>
          <t>Export/share reports</t>
        </is>
      </c>
      <c r="C16" s="15" t="inlineStr">
        <is>
          <t>No</t>
        </is>
      </c>
      <c r="D16" s="15" t="inlineStr">
        <is>
          <t>Limited</t>
        </is>
      </c>
      <c r="E16" s="15" t="inlineStr">
        <is>
          <t>Yes</t>
        </is>
      </c>
      <c r="F16" s="15" t="inlineStr">
        <is>
          <t>Yes</t>
        </is>
      </c>
      <c r="G16" s="15" t="inlineStr">
        <is>
          <t>Branded/custom</t>
        </is>
      </c>
      <c r="H16" s="15" t="inlineStr">
        <is>
          <t>Plan-based</t>
        </is>
      </c>
      <c r="I16" s="15" t="inlineStr">
        <is>
          <t>Team-sharing value</t>
        </is>
      </c>
      <c r="J16" s="15" t="inlineStr">
        <is>
          <t>Medium</t>
        </is>
      </c>
      <c r="K16" s="15" t="inlineStr">
        <is>
          <t>Export count caps</t>
        </is>
      </c>
    </row>
    <row r="17">
      <c r="A17" s="14" t="inlineStr">
        <is>
          <t>Feature</t>
        </is>
      </c>
      <c r="B17" s="14" t="inlineStr">
        <is>
          <t>Voice briefing</t>
        </is>
      </c>
      <c r="C17" s="14" t="inlineStr">
        <is>
          <t>No</t>
        </is>
      </c>
      <c r="D17" s="14" t="inlineStr">
        <is>
          <t>No</t>
        </is>
      </c>
      <c r="E17" s="14" t="inlineStr">
        <is>
          <t>Limited</t>
        </is>
      </c>
      <c r="F17" s="14" t="inlineStr">
        <is>
          <t>Yes</t>
        </is>
      </c>
      <c r="G17" s="14" t="inlineStr">
        <is>
          <t>Yes</t>
        </is>
      </c>
      <c r="H17" s="14" t="inlineStr">
        <is>
          <t>Minutes/chars cap</t>
        </is>
      </c>
      <c r="I17" s="14" t="inlineStr">
        <is>
          <t>Premium UX</t>
        </is>
      </c>
      <c r="J17" s="14" t="inlineStr">
        <is>
          <t>High</t>
        </is>
      </c>
      <c r="K17" s="14" t="inlineStr">
        <is>
          <t>Audio quota</t>
        </is>
      </c>
    </row>
    <row r="18">
      <c r="A18" s="15" t="inlineStr">
        <is>
          <t>Feature</t>
        </is>
      </c>
      <c r="B18" s="15" t="inlineStr">
        <is>
          <t>Evidence trail</t>
        </is>
      </c>
      <c r="C18" s="15" t="inlineStr">
        <is>
          <t>Basic</t>
        </is>
      </c>
      <c r="D18" s="15" t="inlineStr">
        <is>
          <t>Yes</t>
        </is>
      </c>
      <c r="E18" s="15" t="inlineStr">
        <is>
          <t>Full</t>
        </is>
      </c>
      <c r="F18" s="15" t="inlineStr">
        <is>
          <t>Full</t>
        </is>
      </c>
      <c r="G18" s="15" t="inlineStr">
        <is>
          <t>Full</t>
        </is>
      </c>
      <c r="H18" s="15" t="inlineStr">
        <is>
          <t>All reports</t>
        </is>
      </c>
      <c r="I18" s="15" t="inlineStr">
        <is>
          <t>Trust feature</t>
        </is>
      </c>
      <c r="J18" s="15" t="inlineStr">
        <is>
          <t>Low</t>
        </is>
      </c>
      <c r="K18" s="15" t="inlineStr">
        <is>
          <t>Source freshness checks</t>
        </is>
      </c>
    </row>
    <row r="19">
      <c r="A19" s="14" t="inlineStr">
        <is>
          <t>Feature</t>
        </is>
      </c>
      <c r="B19" s="14" t="inlineStr">
        <is>
          <t>Broker/news research overlay</t>
        </is>
      </c>
      <c r="C19" s="14" t="inlineStr">
        <is>
          <t>No</t>
        </is>
      </c>
      <c r="D19" s="14" t="inlineStr">
        <is>
          <t>Limited</t>
        </is>
      </c>
      <c r="E19" s="14" t="inlineStr">
        <is>
          <t>Yes</t>
        </is>
      </c>
      <c r="F19" s="14" t="inlineStr">
        <is>
          <t>Yes</t>
        </is>
      </c>
      <c r="G19" s="14" t="inlineStr">
        <is>
          <t>Yes</t>
        </is>
      </c>
      <c r="H19" s="14" t="inlineStr">
        <is>
          <t>On demand</t>
        </is>
      </c>
      <c r="I19" s="14" t="inlineStr">
        <is>
          <t>Insight layer</t>
        </is>
      </c>
      <c r="J19" s="14" t="inlineStr">
        <is>
          <t>Medium</t>
        </is>
      </c>
      <c r="K19" s="14" t="inlineStr">
        <is>
          <t>Source/date validation</t>
        </is>
      </c>
    </row>
    <row r="20">
      <c r="A20" s="15" t="inlineStr">
        <is>
          <t>Feature</t>
        </is>
      </c>
      <c r="B20" s="15" t="inlineStr">
        <is>
          <t>API / CSV export</t>
        </is>
      </c>
      <c r="C20" s="15" t="inlineStr">
        <is>
          <t>No</t>
        </is>
      </c>
      <c r="D20" s="15" t="inlineStr">
        <is>
          <t>No</t>
        </is>
      </c>
      <c r="E20" s="15" t="inlineStr">
        <is>
          <t>Limited</t>
        </is>
      </c>
      <c r="F20" s="15" t="inlineStr">
        <is>
          <t>Yes</t>
        </is>
      </c>
      <c r="G20" s="15" t="inlineStr">
        <is>
          <t>Bulk</t>
        </is>
      </c>
      <c r="H20" s="15" t="inlineStr">
        <is>
          <t>Monthly quota</t>
        </is>
      </c>
      <c r="I20" s="15" t="inlineStr">
        <is>
          <t>Power-user monetization</t>
        </is>
      </c>
      <c r="J20" s="15" t="inlineStr">
        <is>
          <t>Medium</t>
        </is>
      </c>
      <c r="K20" s="15" t="inlineStr">
        <is>
          <t>Export quotas</t>
        </is>
      </c>
    </row>
    <row r="21">
      <c r="A21" s="14" t="inlineStr">
        <is>
          <t>Feature</t>
        </is>
      </c>
      <c r="B21" s="14" t="inlineStr">
        <is>
          <t>Custom report packs</t>
        </is>
      </c>
      <c r="C21" s="14" t="inlineStr">
        <is>
          <t>No</t>
        </is>
      </c>
      <c r="D21" s="14" t="inlineStr">
        <is>
          <t>No</t>
        </is>
      </c>
      <c r="E21" s="14" t="inlineStr">
        <is>
          <t>No</t>
        </is>
      </c>
      <c r="F21" s="14" t="inlineStr">
        <is>
          <t>Limited</t>
        </is>
      </c>
      <c r="G21" s="14" t="inlineStr">
        <is>
          <t>Yes</t>
        </is>
      </c>
      <c r="H21" s="14" t="inlineStr">
        <is>
          <t>Monthly</t>
        </is>
      </c>
      <c r="I21" s="14" t="inlineStr">
        <is>
          <t>Workflow automation</t>
        </is>
      </c>
      <c r="J21" s="14" t="inlineStr">
        <is>
          <t>Medium</t>
        </is>
      </c>
      <c r="K21" s="14" t="inlineStr">
        <is>
          <t>Pack quota</t>
        </is>
      </c>
    </row>
    <row r="22">
      <c r="A22" s="15" t="inlineStr">
        <is>
          <t>Report</t>
        </is>
      </c>
      <c r="B22" s="15" t="inlineStr">
        <is>
          <t>Daily EOD Market Report</t>
        </is>
      </c>
      <c r="C22" s="15" t="inlineStr">
        <is>
          <t>No</t>
        </is>
      </c>
      <c r="D22" s="15" t="inlineStr">
        <is>
          <t>Preview</t>
        </is>
      </c>
      <c r="E22" s="15" t="inlineStr">
        <is>
          <t>Full</t>
        </is>
      </c>
      <c r="F22" s="15" t="inlineStr">
        <is>
          <t>Full</t>
        </is>
      </c>
      <c r="G22" s="15" t="inlineStr">
        <is>
          <t>Full</t>
        </is>
      </c>
      <c r="H22" s="15" t="inlineStr">
        <is>
          <t>Daily</t>
        </is>
      </c>
      <c r="I22" s="15" t="inlineStr">
        <is>
          <t>Saves daily market review time</t>
        </is>
      </c>
      <c r="J22" s="15" t="inlineStr">
        <is>
          <t>Medium</t>
        </is>
      </c>
      <c r="K22" s="15" t="inlineStr">
        <is>
          <t>Batch generation</t>
        </is>
      </c>
    </row>
    <row r="23">
      <c r="A23" s="14" t="inlineStr">
        <is>
          <t>Report</t>
        </is>
      </c>
      <c r="B23" s="14" t="inlineStr">
        <is>
          <t>Weekend Market Report</t>
        </is>
      </c>
      <c r="C23" s="14" t="inlineStr">
        <is>
          <t>No</t>
        </is>
      </c>
      <c r="D23" s="14" t="inlineStr">
        <is>
          <t>No</t>
        </is>
      </c>
      <c r="E23" s="14" t="inlineStr">
        <is>
          <t>Full</t>
        </is>
      </c>
      <c r="F23" s="14" t="inlineStr">
        <is>
          <t>Full</t>
        </is>
      </c>
      <c r="G23" s="14" t="inlineStr">
        <is>
          <t>Full</t>
        </is>
      </c>
      <c r="H23" s="14" t="inlineStr">
        <is>
          <t>Weekly</t>
        </is>
      </c>
      <c r="I23" s="14" t="inlineStr">
        <is>
          <t>High-value planning artifact</t>
        </is>
      </c>
      <c r="J23" s="14" t="inlineStr">
        <is>
          <t>Medium</t>
        </is>
      </c>
      <c r="K23" s="14" t="inlineStr">
        <is>
          <t>Batch generation</t>
        </is>
      </c>
    </row>
    <row r="24">
      <c r="A24" s="15" t="inlineStr">
        <is>
          <t>Report</t>
        </is>
      </c>
      <c r="B24" s="15" t="inlineStr">
        <is>
          <t>Sector Rotation Report</t>
        </is>
      </c>
      <c r="C24" s="15" t="inlineStr">
        <is>
          <t>Preview</t>
        </is>
      </c>
      <c r="D24" s="15" t="inlineStr">
        <is>
          <t>Limited</t>
        </is>
      </c>
      <c r="E24" s="15" t="inlineStr">
        <is>
          <t>Full</t>
        </is>
      </c>
      <c r="F24" s="15" t="inlineStr">
        <is>
          <t>Full</t>
        </is>
      </c>
      <c r="G24" s="15" t="inlineStr">
        <is>
          <t>Full</t>
        </is>
      </c>
      <c r="H24" s="15" t="inlineStr">
        <is>
          <t>Daily/EOD</t>
        </is>
      </c>
      <c r="I24" s="15" t="inlineStr">
        <is>
          <t>Leadership and risk areas</t>
        </is>
      </c>
      <c r="J24" s="15" t="inlineStr">
        <is>
          <t>Low/Medium</t>
        </is>
      </c>
      <c r="K24" s="15" t="inlineStr">
        <is>
          <t>Delay/free truncation</t>
        </is>
      </c>
    </row>
    <row r="25">
      <c r="A25" s="14" t="inlineStr">
        <is>
          <t>Report</t>
        </is>
      </c>
      <c r="B25" s="14" t="inlineStr">
        <is>
          <t>Stage 2 Tracker</t>
        </is>
      </c>
      <c r="C25" s="14" t="inlineStr">
        <is>
          <t>Preview</t>
        </is>
      </c>
      <c r="D25" s="14" t="inlineStr">
        <is>
          <t>Full</t>
        </is>
      </c>
      <c r="E25" s="14" t="inlineStr">
        <is>
          <t>Full</t>
        </is>
      </c>
      <c r="F25" s="14" t="inlineStr">
        <is>
          <t>Full</t>
        </is>
      </c>
      <c r="G25" s="14" t="inlineStr">
        <is>
          <t>Full</t>
        </is>
      </c>
      <c r="H25" s="14" t="inlineStr">
        <is>
          <t>Daily/EOD</t>
        </is>
      </c>
      <c r="I25" s="14" t="inlineStr">
        <is>
          <t>Idea discovery workflow</t>
        </is>
      </c>
      <c r="J25" s="14" t="inlineStr">
        <is>
          <t>Low</t>
        </is>
      </c>
      <c r="K25" s="14" t="inlineStr">
        <is>
          <t>Universe cap for low tiers</t>
        </is>
      </c>
    </row>
    <row r="26">
      <c r="A26" s="15" t="inlineStr">
        <is>
          <t>Report</t>
        </is>
      </c>
      <c r="B26" s="15" t="inlineStr">
        <is>
          <t>Top Picks / Buy Candidates</t>
        </is>
      </c>
      <c r="C26" s="15" t="inlineStr">
        <is>
          <t>No</t>
        </is>
      </c>
      <c r="D26" s="15" t="inlineStr">
        <is>
          <t>No</t>
        </is>
      </c>
      <c r="E26" s="15" t="inlineStr">
        <is>
          <t>Full</t>
        </is>
      </c>
      <c r="F26" s="15" t="inlineStr">
        <is>
          <t>Full</t>
        </is>
      </c>
      <c r="G26" s="15" t="inlineStr">
        <is>
          <t>Full</t>
        </is>
      </c>
      <c r="H26" s="15" t="inlineStr">
        <is>
          <t>Daily/weekly</t>
        </is>
      </c>
      <c r="I26" s="15" t="inlineStr">
        <is>
          <t>Research shortlist</t>
        </is>
      </c>
      <c r="J26" s="15" t="inlineStr">
        <is>
          <t>Medium</t>
        </is>
      </c>
      <c r="K26" s="15" t="inlineStr">
        <is>
          <t>Research-only framing</t>
        </is>
      </c>
    </row>
    <row r="27">
      <c r="A27" s="14" t="inlineStr">
        <is>
          <t>Report</t>
        </is>
      </c>
      <c r="B27" s="14" t="inlineStr">
        <is>
          <t>Must-Sell / Risk Review</t>
        </is>
      </c>
      <c r="C27" s="14" t="inlineStr">
        <is>
          <t>No</t>
        </is>
      </c>
      <c r="D27" s="14" t="inlineStr">
        <is>
          <t>No</t>
        </is>
      </c>
      <c r="E27" s="14" t="inlineStr">
        <is>
          <t>No</t>
        </is>
      </c>
      <c r="F27" s="14" t="inlineStr">
        <is>
          <t>Full</t>
        </is>
      </c>
      <c r="G27" s="14" t="inlineStr">
        <is>
          <t>Full</t>
        </is>
      </c>
      <c r="H27" s="14" t="inlineStr">
        <is>
          <t>Weekly/on demand</t>
        </is>
      </c>
      <c r="I27" s="14" t="inlineStr">
        <is>
          <t>Portfolio risk control</t>
        </is>
      </c>
      <c r="J27" s="14" t="inlineStr">
        <is>
          <t>Medium</t>
        </is>
      </c>
      <c r="K27" s="14" t="inlineStr">
        <is>
          <t>Portfolio quota</t>
        </is>
      </c>
    </row>
    <row r="28">
      <c r="A28" s="15" t="inlineStr">
        <is>
          <t>Report</t>
        </is>
      </c>
      <c r="B28" s="15" t="inlineStr">
        <is>
          <t>Portfolio Assessment Report</t>
        </is>
      </c>
      <c r="C28" s="15" t="inlineStr">
        <is>
          <t>No</t>
        </is>
      </c>
      <c r="D28" s="15" t="inlineStr">
        <is>
          <t>No</t>
        </is>
      </c>
      <c r="E28" s="15" t="inlineStr">
        <is>
          <t>Lite</t>
        </is>
      </c>
      <c r="F28" s="15" t="inlineStr">
        <is>
          <t>Full</t>
        </is>
      </c>
      <c r="G28" s="15" t="inlineStr">
        <is>
          <t>Full + history</t>
        </is>
      </c>
      <c r="H28" s="15" t="inlineStr">
        <is>
          <t>Weekly/on demand</t>
        </is>
      </c>
      <c r="I28" s="15" t="inlineStr">
        <is>
          <t>Personalized value</t>
        </is>
      </c>
      <c r="J28" s="15" t="inlineStr">
        <is>
          <t>Medium</t>
        </is>
      </c>
      <c r="K28" s="15" t="inlineStr">
        <is>
          <t>Upload/report quota</t>
        </is>
      </c>
    </row>
    <row r="29">
      <c r="A29" s="14" t="inlineStr">
        <is>
          <t>Report</t>
        </is>
      </c>
      <c r="B29" s="14" t="inlineStr">
        <is>
          <t>Individual Stock Deep Dive</t>
        </is>
      </c>
      <c r="C29" s="14" t="inlineStr">
        <is>
          <t>No</t>
        </is>
      </c>
      <c r="D29" s="14" t="inlineStr">
        <is>
          <t>Limited</t>
        </is>
      </c>
      <c r="E29" s="14" t="inlineStr">
        <is>
          <t>Quota</t>
        </is>
      </c>
      <c r="F29" s="14" t="inlineStr">
        <is>
          <t>Full</t>
        </is>
      </c>
      <c r="G29" s="14" t="inlineStr">
        <is>
          <t>Full</t>
        </is>
      </c>
      <c r="H29" s="14" t="inlineStr">
        <is>
          <t>On demand</t>
        </is>
      </c>
      <c r="I29" s="14" t="inlineStr">
        <is>
          <t>Core research artifact</t>
        </is>
      </c>
      <c r="J29" s="14" t="inlineStr">
        <is>
          <t>Medium/High</t>
        </is>
      </c>
      <c r="K29" s="14" t="inlineStr">
        <is>
          <t>Deep-dive quota</t>
        </is>
      </c>
    </row>
    <row r="30">
      <c r="A30" s="15" t="inlineStr">
        <is>
          <t>Report</t>
        </is>
      </c>
      <c r="B30" s="15" t="inlineStr">
        <is>
          <t>Fundamental Deep Research Report</t>
        </is>
      </c>
      <c r="C30" s="15" t="inlineStr">
        <is>
          <t>No</t>
        </is>
      </c>
      <c r="D30" s="15" t="inlineStr">
        <is>
          <t>No</t>
        </is>
      </c>
      <c r="E30" s="15" t="inlineStr">
        <is>
          <t>Limited</t>
        </is>
      </c>
      <c r="F30" s="15" t="inlineStr">
        <is>
          <t>Quota</t>
        </is>
      </c>
      <c r="G30" s="15" t="inlineStr">
        <is>
          <t>Quota+</t>
        </is>
      </c>
      <c r="H30" s="15" t="inlineStr">
        <is>
          <t>On demand</t>
        </is>
      </c>
      <c r="I30" s="15" t="inlineStr">
        <is>
          <t>Higher value and higher LLM/document cost</t>
        </is>
      </c>
      <c r="J30" s="15" t="inlineStr">
        <is>
          <t>High</t>
        </is>
      </c>
      <c r="K30" s="15" t="inlineStr">
        <is>
          <t>Premium quota</t>
        </is>
      </c>
    </row>
    <row r="31">
      <c r="A31" s="14" t="inlineStr">
        <is>
          <t>Report</t>
        </is>
      </c>
      <c r="B31" s="14" t="inlineStr">
        <is>
          <t>Peer Battle Report</t>
        </is>
      </c>
      <c r="C31" s="14" t="inlineStr">
        <is>
          <t>No</t>
        </is>
      </c>
      <c r="D31" s="14" t="inlineStr">
        <is>
          <t>No</t>
        </is>
      </c>
      <c r="E31" s="14" t="inlineStr">
        <is>
          <t>Full</t>
        </is>
      </c>
      <c r="F31" s="14" t="inlineStr">
        <is>
          <t>Full</t>
        </is>
      </c>
      <c r="G31" s="14" t="inlineStr">
        <is>
          <t>Full</t>
        </is>
      </c>
      <c r="H31" s="14" t="inlineStr">
        <is>
          <t>On demand</t>
        </is>
      </c>
      <c r="I31" s="14" t="inlineStr">
        <is>
          <t>Allocation comparison</t>
        </is>
      </c>
      <c r="J31" s="14" t="inlineStr">
        <is>
          <t>Medium</t>
        </is>
      </c>
      <c r="K31" s="14" t="inlineStr">
        <is>
          <t>Symbol count cap</t>
        </is>
      </c>
    </row>
    <row r="32">
      <c r="A32" s="15" t="inlineStr">
        <is>
          <t>Report</t>
        </is>
      </c>
      <c r="B32" s="15" t="inlineStr">
        <is>
          <t>Results / Earnings Review</t>
        </is>
      </c>
      <c r="C32" s="15" t="inlineStr">
        <is>
          <t>No</t>
        </is>
      </c>
      <c r="D32" s="15" t="inlineStr">
        <is>
          <t>Limited</t>
        </is>
      </c>
      <c r="E32" s="15" t="inlineStr">
        <is>
          <t>Full</t>
        </is>
      </c>
      <c r="F32" s="15" t="inlineStr">
        <is>
          <t>Full</t>
        </is>
      </c>
      <c r="G32" s="15" t="inlineStr">
        <is>
          <t>Full</t>
        </is>
      </c>
      <c r="H32" s="15" t="inlineStr">
        <is>
          <t>Event-driven</t>
        </is>
      </c>
      <c r="I32" s="15" t="inlineStr">
        <is>
          <t>Timely post-result interpretation</t>
        </is>
      </c>
      <c r="J32" s="15" t="inlineStr">
        <is>
          <t>Medium</t>
        </is>
      </c>
      <c r="K32" s="15" t="inlineStr">
        <is>
          <t>Event quota</t>
        </is>
      </c>
    </row>
    <row r="33">
      <c r="A33" s="14" t="inlineStr">
        <is>
          <t>Report</t>
        </is>
      </c>
      <c r="B33" s="14" t="inlineStr">
        <is>
          <t>Concall Summary + Key Questions</t>
        </is>
      </c>
      <c r="C33" s="14" t="inlineStr">
        <is>
          <t>No</t>
        </is>
      </c>
      <c r="D33" s="14" t="inlineStr">
        <is>
          <t>No</t>
        </is>
      </c>
      <c r="E33" s="14" t="inlineStr">
        <is>
          <t>Limited</t>
        </is>
      </c>
      <c r="F33" s="14" t="inlineStr">
        <is>
          <t>Full</t>
        </is>
      </c>
      <c r="G33" s="14" t="inlineStr">
        <is>
          <t>Full</t>
        </is>
      </c>
      <c r="H33" s="14" t="inlineStr">
        <is>
          <t>Event-driven</t>
        </is>
      </c>
      <c r="I33" s="14" t="inlineStr">
        <is>
          <t>Document-grounded research</t>
        </is>
      </c>
      <c r="J33" s="14" t="inlineStr">
        <is>
          <t>Medium/High</t>
        </is>
      </c>
      <c r="K33" s="14" t="inlineStr">
        <is>
          <t>Document page cap</t>
        </is>
      </c>
    </row>
    <row r="34">
      <c r="A34" s="15" t="inlineStr">
        <is>
          <t>Report</t>
        </is>
      </c>
      <c r="B34" s="15" t="inlineStr">
        <is>
          <t>Broker/Analyst Consensus Overlay</t>
        </is>
      </c>
      <c r="C34" s="15" t="inlineStr">
        <is>
          <t>No</t>
        </is>
      </c>
      <c r="D34" s="15" t="inlineStr">
        <is>
          <t>Limited</t>
        </is>
      </c>
      <c r="E34" s="15" t="inlineStr">
        <is>
          <t>Full</t>
        </is>
      </c>
      <c r="F34" s="15" t="inlineStr">
        <is>
          <t>Full</t>
        </is>
      </c>
      <c r="G34" s="15" t="inlineStr">
        <is>
          <t>Full</t>
        </is>
      </c>
      <c r="H34" s="15" t="inlineStr">
        <is>
          <t>Event-driven</t>
        </is>
      </c>
      <c r="I34" s="15" t="inlineStr">
        <is>
          <t>Market narrative and target changes</t>
        </is>
      </c>
      <c r="J34" s="15" t="inlineStr">
        <is>
          <t>Medium</t>
        </is>
      </c>
      <c r="K34" s="15" t="inlineStr">
        <is>
          <t>Source validation</t>
        </is>
      </c>
    </row>
    <row r="35">
      <c r="A35" s="14" t="inlineStr">
        <is>
          <t>Report</t>
        </is>
      </c>
      <c r="B35" s="14" t="inlineStr">
        <is>
          <t>FII/DII + Flow Dashboard</t>
        </is>
      </c>
      <c r="C35" s="14" t="inlineStr">
        <is>
          <t>No</t>
        </is>
      </c>
      <c r="D35" s="14" t="inlineStr">
        <is>
          <t>Full</t>
        </is>
      </c>
      <c r="E35" s="14" t="inlineStr">
        <is>
          <t>Full</t>
        </is>
      </c>
      <c r="F35" s="14" t="inlineStr">
        <is>
          <t>Full</t>
        </is>
      </c>
      <c r="G35" s="14" t="inlineStr">
        <is>
          <t>Full</t>
        </is>
      </c>
      <c r="H35" s="14" t="inlineStr">
        <is>
          <t>Daily</t>
        </is>
      </c>
      <c r="I35" s="14" t="inlineStr">
        <is>
          <t>Macro/market context</t>
        </is>
      </c>
      <c r="J35" s="14" t="inlineStr">
        <is>
          <t>Low</t>
        </is>
      </c>
      <c r="K35" s="14" t="inlineStr">
        <is>
          <t>Cache daily</t>
        </is>
      </c>
    </row>
    <row r="36">
      <c r="A36" s="15" t="inlineStr">
        <is>
          <t>Report</t>
        </is>
      </c>
      <c r="B36" s="15" t="inlineStr">
        <is>
          <t>Intraday Options / F&amp;O Alerts</t>
        </is>
      </c>
      <c r="C36" s="15" t="inlineStr">
        <is>
          <t>No</t>
        </is>
      </c>
      <c r="D36" s="15" t="inlineStr">
        <is>
          <t>No</t>
        </is>
      </c>
      <c r="E36" s="15" t="inlineStr">
        <is>
          <t>No</t>
        </is>
      </c>
      <c r="F36" s="15" t="inlineStr">
        <is>
          <t>Full</t>
        </is>
      </c>
      <c r="G36" s="15" t="inlineStr">
        <is>
          <t>Full</t>
        </is>
      </c>
      <c r="H36" s="15" t="inlineStr">
        <is>
          <t>Intraday</t>
        </is>
      </c>
      <c r="I36" s="15" t="inlineStr">
        <is>
          <t>High engagement</t>
        </is>
      </c>
      <c r="J36" s="15" t="inlineStr">
        <is>
          <t>High</t>
        </is>
      </c>
      <c r="K36" s="15" t="inlineStr">
        <is>
          <t>Strict risk and frequency caps</t>
        </is>
      </c>
    </row>
    <row r="37">
      <c r="A37" s="14" t="inlineStr">
        <is>
          <t>Report</t>
        </is>
      </c>
      <c r="B37" s="14" t="inlineStr">
        <is>
          <t>Watchlist Change Report</t>
        </is>
      </c>
      <c r="C37" s="14" t="inlineStr">
        <is>
          <t>No</t>
        </is>
      </c>
      <c r="D37" s="14" t="inlineStr">
        <is>
          <t>No</t>
        </is>
      </c>
      <c r="E37" s="14" t="inlineStr">
        <is>
          <t>Full</t>
        </is>
      </c>
      <c r="F37" s="14" t="inlineStr">
        <is>
          <t>Full</t>
        </is>
      </c>
      <c r="G37" s="14" t="inlineStr">
        <is>
          <t>Full</t>
        </is>
      </c>
      <c r="H37" s="14" t="inlineStr">
        <is>
          <t>Daily/weekly</t>
        </is>
      </c>
      <c r="I37" s="14" t="inlineStr">
        <is>
          <t>What changed in tracked names</t>
        </is>
      </c>
      <c r="J37" s="14" t="inlineStr">
        <is>
          <t>Low/Medium</t>
        </is>
      </c>
      <c r="K37" s="14" t="inlineStr">
        <is>
          <t>Watchlist cap</t>
        </is>
      </c>
    </row>
    <row r="38">
      <c r="A38" s="15" t="inlineStr">
        <is>
          <t>Report</t>
        </is>
      </c>
      <c r="B38" s="15" t="inlineStr">
        <is>
          <t>Small/Mid Cap Fund Review</t>
        </is>
      </c>
      <c r="C38" s="15" t="inlineStr">
        <is>
          <t>No</t>
        </is>
      </c>
      <c r="D38" s="15" t="inlineStr">
        <is>
          <t>No</t>
        </is>
      </c>
      <c r="E38" s="15" t="inlineStr">
        <is>
          <t>No</t>
        </is>
      </c>
      <c r="F38" s="15" t="inlineStr">
        <is>
          <t>Full</t>
        </is>
      </c>
      <c r="G38" s="15" t="inlineStr">
        <is>
          <t>Full</t>
        </is>
      </c>
      <c r="H38" s="15" t="inlineStr">
        <is>
          <t>Weekly</t>
        </is>
      </c>
      <c r="I38" s="15" t="inlineStr">
        <is>
          <t>Premium curation workflow</t>
        </is>
      </c>
      <c r="J38" s="15" t="inlineStr">
        <is>
          <t>Medium</t>
        </is>
      </c>
      <c r="K38" s="15" t="inlineStr">
        <is>
          <t>Research quota</t>
        </is>
      </c>
    </row>
    <row r="39">
      <c r="A39" s="14" t="inlineStr">
        <is>
          <t>Report</t>
        </is>
      </c>
      <c r="B39" s="14" t="inlineStr">
        <is>
          <t>Evidence QA Report</t>
        </is>
      </c>
      <c r="C39" s="14" t="inlineStr">
        <is>
          <t>No</t>
        </is>
      </c>
      <c r="D39" s="14" t="inlineStr">
        <is>
          <t>No</t>
        </is>
      </c>
      <c r="E39" s="14" t="inlineStr">
        <is>
          <t>No</t>
        </is>
      </c>
      <c r="F39" s="14" t="inlineStr">
        <is>
          <t>Limited</t>
        </is>
      </c>
      <c r="G39" s="14" t="inlineStr">
        <is>
          <t>Full</t>
        </is>
      </c>
      <c r="H39" s="14" t="inlineStr">
        <is>
          <t>On demand</t>
        </is>
      </c>
      <c r="I39" s="14" t="inlineStr">
        <is>
          <t>Trust/compliance for shared artifacts</t>
        </is>
      </c>
      <c r="J39" s="14" t="inlineStr">
        <is>
          <t>Low/Medium</t>
        </is>
      </c>
      <c r="K39" s="14" t="inlineStr">
        <is>
          <t>QA checklist</t>
        </is>
      </c>
    </row>
    <row r="40">
      <c r="A40" s="15" t="inlineStr">
        <is>
          <t>Report</t>
        </is>
      </c>
      <c r="B40" s="15" t="inlineStr">
        <is>
          <t>Branded Shareable HTML Report</t>
        </is>
      </c>
      <c r="C40" s="15" t="inlineStr">
        <is>
          <t>No</t>
        </is>
      </c>
      <c r="D40" s="15" t="inlineStr">
        <is>
          <t>No</t>
        </is>
      </c>
      <c r="E40" s="15" t="inlineStr">
        <is>
          <t>Limited</t>
        </is>
      </c>
      <c r="F40" s="15" t="inlineStr">
        <is>
          <t>Full</t>
        </is>
      </c>
      <c r="G40" s="15" t="inlineStr">
        <is>
          <t>Custom</t>
        </is>
      </c>
      <c r="H40" s="15" t="inlineStr">
        <is>
          <t>On demand</t>
        </is>
      </c>
      <c r="I40" s="15" t="inlineStr">
        <is>
          <t>Professional shareability</t>
        </is>
      </c>
      <c r="J40" s="15" t="inlineStr">
        <is>
          <t>Medium</t>
        </is>
      </c>
      <c r="K40" s="15" t="inlineStr">
        <is>
          <t>Export quota</t>
        </is>
      </c>
    </row>
  </sheetData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4" customWidth="1" min="3" max="3"/>
    <col width="42" customWidth="1" min="4" max="4"/>
    <col width="42" customWidth="1" min="5" max="5"/>
    <col width="13" customWidth="1" min="6" max="6"/>
    <col width="41" customWidth="1" min="7" max="7"/>
    <col width="10" customWidth="1" min="8" max="8"/>
  </cols>
  <sheetData>
    <row r="1">
      <c r="A1" s="1" t="inlineStr">
        <is>
          <t>Report Bundles and Add-ons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Paid report packs and optional monetization extensions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Type</t>
        </is>
      </c>
      <c r="B4" s="13" t="inlineStr">
        <is>
          <t>Bundle / Add-on</t>
        </is>
      </c>
      <c r="C4" s="13" t="inlineStr">
        <is>
          <t>Suggested Tier / Price</t>
        </is>
      </c>
      <c r="D4" s="13" t="inlineStr">
        <is>
          <t>Included Items / Usage</t>
        </is>
      </c>
      <c r="E4" s="13" t="inlineStr">
        <is>
          <t>Primary Value</t>
        </is>
      </c>
      <c r="F4" s="13" t="inlineStr">
        <is>
          <t>Cost Risk</t>
        </is>
      </c>
      <c r="G4" s="13" t="inlineStr">
        <is>
          <t>Control Required</t>
        </is>
      </c>
      <c r="H4" s="2" t="n"/>
    </row>
    <row r="5">
      <c r="A5" s="14" t="inlineStr">
        <is>
          <t>Bundle</t>
        </is>
      </c>
      <c r="B5" s="14" t="inlineStr">
        <is>
          <t>Market Pulse Pack</t>
        </is>
      </c>
      <c r="C5" s="14" t="inlineStr">
        <is>
          <t>Plus</t>
        </is>
      </c>
      <c r="D5" s="14" t="inlineStr">
        <is>
          <t>Daily EOD Market Report; Weekend Market Report; Sector Rotation; FII/DII Flow Dashboard</t>
        </is>
      </c>
      <c r="E5" s="14" t="inlineStr">
        <is>
          <t>Daily/weekly market planning</t>
        </is>
      </c>
      <c r="F5" s="14" t="inlineStr">
        <is>
          <t>Medium</t>
        </is>
      </c>
      <c r="G5" s="14" t="inlineStr">
        <is>
          <t>Batch generation and email limits</t>
        </is>
      </c>
      <c r="H5" s="2" t="n"/>
    </row>
    <row r="6">
      <c r="A6" s="15" t="inlineStr">
        <is>
          <t>Bundle</t>
        </is>
      </c>
      <c r="B6" s="15" t="inlineStr">
        <is>
          <t>Idea Discovery Pack</t>
        </is>
      </c>
      <c r="C6" s="15" t="inlineStr">
        <is>
          <t>Plus</t>
        </is>
      </c>
      <c r="D6" s="15" t="inlineStr">
        <is>
          <t>Stage 2 Tracker; Top Picks; Peer Battle; Watchlist Change Report</t>
        </is>
      </c>
      <c r="E6" s="15" t="inlineStr">
        <is>
          <t>Shortlist creation and follow-up research</t>
        </is>
      </c>
      <c r="F6" s="15" t="inlineStr">
        <is>
          <t>Medium</t>
        </is>
      </c>
      <c r="G6" s="15" t="inlineStr">
        <is>
          <t>Research-only framing and quota</t>
        </is>
      </c>
      <c r="H6" s="2" t="n"/>
    </row>
    <row r="7">
      <c r="A7" s="14" t="inlineStr">
        <is>
          <t>Bundle</t>
        </is>
      </c>
      <c r="B7" s="14" t="inlineStr">
        <is>
          <t>Portfolio Risk Pack</t>
        </is>
      </c>
      <c r="C7" s="14" t="inlineStr">
        <is>
          <t>Pro</t>
        </is>
      </c>
      <c r="D7" s="14" t="inlineStr">
        <is>
          <t>Portfolio Assessment; Must-Sell Review; Add/Trim Review; Concentration Risk</t>
        </is>
      </c>
      <c r="E7" s="14" t="inlineStr">
        <is>
          <t>Personalized risk control</t>
        </is>
      </c>
      <c r="F7" s="14" t="inlineStr">
        <is>
          <t>Medium</t>
        </is>
      </c>
      <c r="G7" s="14" t="inlineStr">
        <is>
          <t>Portfolio refresh and deep-review quota</t>
        </is>
      </c>
      <c r="H7" s="2" t="n"/>
    </row>
    <row r="8">
      <c r="A8" s="15" t="inlineStr">
        <is>
          <t>Bundle</t>
        </is>
      </c>
      <c r="B8" s="15" t="inlineStr">
        <is>
          <t>Earnings Pack</t>
        </is>
      </c>
      <c r="C8" s="15" t="inlineStr">
        <is>
          <t>Pro</t>
        </is>
      </c>
      <c r="D8" s="15" t="inlineStr">
        <is>
          <t>Results Review; Concall Summary; Broker Overlay; Open Questions</t>
        </is>
      </c>
      <c r="E8" s="15" t="inlineStr">
        <is>
          <t>Event-driven research workflow</t>
        </is>
      </c>
      <c r="F8" s="15" t="inlineStr">
        <is>
          <t>Medium/High</t>
        </is>
      </c>
      <c r="G8" s="15" t="inlineStr">
        <is>
          <t>Document page and event quotas</t>
        </is>
      </c>
      <c r="H8" s="2" t="n"/>
    </row>
    <row r="9">
      <c r="A9" s="14" t="inlineStr">
        <is>
          <t>Bundle</t>
        </is>
      </c>
      <c r="B9" s="14" t="inlineStr">
        <is>
          <t>Trader Alert Pack</t>
        </is>
      </c>
      <c r="C9" s="14" t="inlineStr">
        <is>
          <t>Pro/Power</t>
        </is>
      </c>
      <c r="D9" s="14" t="inlineStr">
        <is>
          <t>Intraday Alerts; F&amp;O/Option Watch; VWAP/ORB Alerts; Breakout Monitor</t>
        </is>
      </c>
      <c r="E9" s="14" t="inlineStr">
        <is>
          <t>High-engagement monitoring</t>
        </is>
      </c>
      <c r="F9" s="14" t="inlineStr">
        <is>
          <t>High</t>
        </is>
      </c>
      <c r="G9" s="14" t="inlineStr">
        <is>
          <t>Frequency caps and disclaimers</t>
        </is>
      </c>
      <c r="H9" s="2" t="n"/>
    </row>
    <row r="10">
      <c r="A10" s="15" t="inlineStr">
        <is>
          <t>Bundle</t>
        </is>
      </c>
      <c r="B10" s="15" t="inlineStr">
        <is>
          <t>Research Desk Pack</t>
        </is>
      </c>
      <c r="C10" s="15" t="inlineStr">
        <is>
          <t>Power</t>
        </is>
      </c>
      <c r="D10" s="15" t="inlineStr">
        <is>
          <t>Deep Stock Research; Custom HTML Exports; Evidence QA; Bulk Reports</t>
        </is>
      </c>
      <c r="E10" s="15" t="inlineStr">
        <is>
          <t>Team-grade research desk</t>
        </is>
      </c>
      <c r="F10" s="15" t="inlineStr">
        <is>
          <t>High</t>
        </is>
      </c>
      <c r="G10" s="15" t="inlineStr">
        <is>
          <t>Bulk quota and premium model routing</t>
        </is>
      </c>
      <c r="H10" s="2" t="n"/>
    </row>
    <row r="11">
      <c r="A11" s="14" t="inlineStr">
        <is>
          <t>Add-on</t>
        </is>
      </c>
      <c r="B11" s="14" t="inlineStr">
        <is>
          <t>Extra Deep Research Pack</t>
        </is>
      </c>
      <c r="C11" s="14" t="inlineStr">
        <is>
          <t>₹199</t>
        </is>
      </c>
      <c r="D11" s="14" t="inlineStr">
        <is>
          <t>10 additional deep reports</t>
        </is>
      </c>
      <c r="E11" s="14" t="inlineStr">
        <is>
          <t>Monetizes high-cost synthesis</t>
        </is>
      </c>
      <c r="F11" s="14" t="inlineStr">
        <is>
          <t>High</t>
        </is>
      </c>
      <c r="G11" s="14" t="inlineStr">
        <is>
          <t>Hard report count cap</t>
        </is>
      </c>
      <c r="H11" s="2" t="n"/>
    </row>
    <row r="12">
      <c r="A12" s="15" t="inlineStr">
        <is>
          <t>Add-on</t>
        </is>
      </c>
      <c r="B12" s="15" t="inlineStr">
        <is>
          <t>Portfolio History Pack</t>
        </is>
      </c>
      <c r="C12" s="15" t="inlineStr">
        <is>
          <t>₹199/month</t>
        </is>
      </c>
      <c r="D12" s="15" t="inlineStr">
        <is>
          <t>Historical portfolio snapshots and change tracking</t>
        </is>
      </c>
      <c r="E12" s="15" t="inlineStr">
        <is>
          <t>Retention and longitudinal insights</t>
        </is>
      </c>
      <c r="F12" s="15" t="inlineStr">
        <is>
          <t>Medium</t>
        </is>
      </c>
      <c r="G12" s="15" t="inlineStr">
        <is>
          <t>Storage and refresh caps</t>
        </is>
      </c>
      <c r="H12" s="2" t="n"/>
    </row>
    <row r="13">
      <c r="A13" s="14" t="inlineStr">
        <is>
          <t>Add-on</t>
        </is>
      </c>
      <c r="B13" s="14" t="inlineStr">
        <is>
          <t>Intraday Alert Pack</t>
        </is>
      </c>
      <c r="C13" s="14" t="inlineStr">
        <is>
          <t>₹299/month</t>
        </is>
      </c>
      <c r="D13" s="14" t="inlineStr">
        <is>
          <t>Higher-frequency alerts and email delivery</t>
        </is>
      </c>
      <c r="E13" s="14" t="inlineStr">
        <is>
          <t>Trading-day engagement</t>
        </is>
      </c>
      <c r="F13" s="14" t="inlineStr">
        <is>
          <t>High</t>
        </is>
      </c>
      <c r="G13" s="14" t="inlineStr">
        <is>
          <t>Polling and email caps</t>
        </is>
      </c>
      <c r="H13" s="2" t="n"/>
    </row>
    <row r="14">
      <c r="A14" s="15" t="inlineStr">
        <is>
          <t>Add-on</t>
        </is>
      </c>
      <c r="B14" s="15" t="inlineStr">
        <is>
          <t>Voice Briefing Pack</t>
        </is>
      </c>
      <c r="C14" s="15" t="inlineStr">
        <is>
          <t>₹149/month</t>
        </is>
      </c>
      <c r="D14" s="15" t="inlineStr">
        <is>
          <t>Daily audio briefings</t>
        </is>
      </c>
      <c r="E14" s="15" t="inlineStr">
        <is>
          <t>Premium convenience</t>
        </is>
      </c>
      <c r="F14" s="15" t="inlineStr">
        <is>
          <t>Medium/High</t>
        </is>
      </c>
      <c r="G14" s="15" t="inlineStr">
        <is>
          <t>Minutes/characters cap</t>
        </is>
      </c>
      <c r="H14" s="2" t="n"/>
    </row>
    <row r="15">
      <c r="A15" s="14" t="inlineStr">
        <is>
          <t>Add-on</t>
        </is>
      </c>
      <c r="B15" s="14" t="inlineStr">
        <is>
          <t>Team Share/Export Pack</t>
        </is>
      </c>
      <c r="C15" s="14" t="inlineStr">
        <is>
          <t>₹499/month</t>
        </is>
      </c>
      <c r="D15" s="14" t="inlineStr">
        <is>
          <t>Branded exports and shared report links</t>
        </is>
      </c>
      <c r="E15" s="14" t="inlineStr">
        <is>
          <t>Professional sharing</t>
        </is>
      </c>
      <c r="F15" s="14" t="inlineStr">
        <is>
          <t>Medium</t>
        </is>
      </c>
      <c r="G15" s="14" t="inlineStr">
        <is>
          <t>Export/share-link quota</t>
        </is>
      </c>
      <c r="H15" s="2" t="n"/>
    </row>
    <row r="16">
      <c r="A16" s="15" t="inlineStr">
        <is>
          <t>Add-on</t>
        </is>
      </c>
      <c r="B16" s="15" t="inlineStr">
        <is>
          <t>Custom Research Pack</t>
        </is>
      </c>
      <c r="C16" s="15" t="inlineStr">
        <is>
          <t>₹999+</t>
        </is>
      </c>
      <c r="D16" s="15" t="inlineStr">
        <is>
          <t>Bespoke watchlists and report packs</t>
        </is>
      </c>
      <c r="E16" s="15" t="inlineStr">
        <is>
          <t>High-value custom workflow</t>
        </is>
      </c>
      <c r="F16" s="15" t="inlineStr">
        <is>
          <t>High</t>
        </is>
      </c>
      <c r="G16" s="15" t="inlineStr">
        <is>
          <t>Manual approval or capped automation</t>
        </is>
      </c>
      <c r="H16" s="2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2" customWidth="1" min="5" max="5"/>
    <col width="21" customWidth="1" min="6" max="6"/>
    <col width="22" customWidth="1" min="7" max="7"/>
    <col width="42" customWidth="1" min="8" max="8"/>
    <col width="42" customWidth="1" min="9" max="9"/>
  </cols>
  <sheetData>
    <row r="1">
      <c r="A1" s="1" t="inlineStr">
        <is>
          <t>Deployment Architecture Costs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Current Cloudflare + FastAPI + PostgreSQL + worker cost mapping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3" t="inlineStr">
        <is>
          <t>Layer</t>
        </is>
      </c>
      <c r="B4" s="13" t="inlineStr">
        <is>
          <t>Current Evidence</t>
        </is>
      </c>
      <c r="C4" s="13" t="inlineStr">
        <is>
          <t>Current Role</t>
        </is>
      </c>
      <c r="D4" s="13" t="inlineStr">
        <is>
          <t>Production Target</t>
        </is>
      </c>
      <c r="E4" s="13" t="inlineStr">
        <is>
          <t>Included Previously?</t>
        </is>
      </c>
      <c r="F4" s="13" t="inlineStr">
        <is>
          <t>Lean Beta INR/Month</t>
        </is>
      </c>
      <c r="G4" s="13" t="inlineStr">
        <is>
          <t>Production INR/Month</t>
        </is>
      </c>
      <c r="H4" s="13" t="inlineStr">
        <is>
          <t>Cost Driver</t>
        </is>
      </c>
      <c r="I4" s="13" t="inlineStr">
        <is>
          <t>Notes</t>
        </is>
      </c>
    </row>
    <row r="5">
      <c r="A5" s="14" t="inlineStr">
        <is>
          <t>Cloudflare Worker/static frontend</t>
        </is>
      </c>
      <c r="B5" s="14" t="inlineStr">
        <is>
          <t>agentadda-www/wrangler.jsonc; agentadda-www/package.json</t>
        </is>
      </c>
      <c r="C5" s="14" t="inlineStr">
        <is>
          <t>Next.js static/export-style website served through Cloudflare Worker assets</t>
        </is>
      </c>
      <c r="D5" s="14" t="inlineStr">
        <is>
          <t>Cloudflare Workers/Pages paid plan if traffic or functions need it</t>
        </is>
      </c>
      <c r="E5" s="14" t="inlineStr">
        <is>
          <t>Partially</t>
        </is>
      </c>
      <c r="F5" s="14" t="inlineStr">
        <is>
          <t>500</t>
        </is>
      </c>
      <c r="G5" s="14" t="inlineStr">
        <is>
          <t>2500</t>
        </is>
      </c>
      <c r="H5" s="14" t="inlineStr">
        <is>
          <t>Worker requests, CPU ms, build/deploy, domain/security</t>
        </is>
      </c>
      <c r="I5" s="14" t="inlineStr">
        <is>
          <t>Cloudflare Workers paid plan starts at $5/mo with included request/CPU allocation; current app is mostly static assets</t>
        </is>
      </c>
    </row>
    <row r="6">
      <c r="A6" s="15" t="inlineStr">
        <is>
          <t>Static report hosting</t>
        </is>
      </c>
      <c r="B6" s="15" t="inlineStr">
        <is>
          <t>agentadda-www/public/reports/</t>
        </is>
      </c>
      <c r="C6" s="15" t="inlineStr">
        <is>
          <t>HTML reports and static assets served from the web repo</t>
        </is>
      </c>
      <c r="D6" s="15" t="inlineStr">
        <is>
          <t>Cloudflare assets initially; R2 if reports/artifacts grow</t>
        </is>
      </c>
      <c r="E6" s="15" t="inlineStr">
        <is>
          <t>Partially</t>
        </is>
      </c>
      <c r="F6" s="15" t="inlineStr">
        <is>
          <t>0</t>
        </is>
      </c>
      <c r="G6" s="15" t="inlineStr">
        <is>
          <t>500</t>
        </is>
      </c>
      <c r="H6" s="15" t="inlineStr">
        <is>
          <t>Storage GB, object reads/writes</t>
        </is>
      </c>
      <c r="I6" s="15" t="inlineStr">
        <is>
          <t>Cloudflare R2 has free tier; public reports are small at beta scale</t>
        </is>
      </c>
    </row>
    <row r="7">
      <c r="A7" s="14" t="inlineStr">
        <is>
          <t>FastAPI backend</t>
        </is>
      </c>
      <c r="B7" s="14" t="inlineStr">
        <is>
          <t>agent_adda/web_api/main.py; e2e/playwright.config.ts</t>
        </is>
      </c>
      <c r="C7" s="14" t="inlineStr">
        <is>
          <t>Local API on 127.0.0.1:8765 for Talk 2 Stocks/routes</t>
        </is>
      </c>
      <c r="D7" s="14" t="inlineStr">
        <is>
          <t>Deploy as web service on Render/Fly/Railway/VPS or container platform</t>
        </is>
      </c>
      <c r="E7" s="14" t="inlineStr">
        <is>
          <t>No</t>
        </is>
      </c>
      <c r="F7" s="14" t="inlineStr">
        <is>
          <t>700</t>
        </is>
      </c>
      <c r="G7" s="14" t="inlineStr">
        <is>
          <t>3000</t>
        </is>
      </c>
      <c r="H7" s="14" t="inlineStr">
        <is>
          <t>Always-on compute, memory, concurrency, HTTPS, CORS</t>
        </is>
      </c>
      <c r="I7" s="14" t="inlineStr">
        <is>
          <t>Current repo has FastAPI but no production deploy config found</t>
        </is>
      </c>
    </row>
    <row r="8">
      <c r="A8" s="15" t="inlineStr">
        <is>
          <t>Managed PostgreSQL</t>
        </is>
      </c>
      <c r="B8" s="15" t="inlineStr">
        <is>
          <t>postgres/; postgres/start_pg.sh; installer/setup_wizard.py</t>
        </is>
      </c>
      <c r="C8" s="15" t="inlineStr">
        <is>
          <t>Local NSE market DB and analytics store</t>
        </is>
      </c>
      <c r="D8" s="15" t="inlineStr">
        <is>
          <t>Managed Postgres with backups and monitoring</t>
        </is>
      </c>
      <c r="E8" s="15" t="inlineStr">
        <is>
          <t>Partially</t>
        </is>
      </c>
      <c r="F8" s="15" t="inlineStr">
        <is>
          <t>1500</t>
        </is>
      </c>
      <c r="G8" s="15" t="inlineStr">
        <is>
          <t>5000</t>
        </is>
      </c>
      <c r="H8" s="15" t="inlineStr">
        <is>
          <t>Storage, CPU/RAM, backups, connections</t>
        </is>
      </c>
      <c r="I8" s="15" t="inlineStr">
        <is>
          <t>Current model used generic DB/storage bucket; public product needs managed DB</t>
        </is>
      </c>
    </row>
    <row r="9">
      <c r="A9" s="14" t="inlineStr">
        <is>
          <t>Daily refresh scheduler</t>
        </is>
      </c>
      <c r="B9" s="14" t="inlineStr">
        <is>
          <t>installer/systemd/agentadda-daily-refresh.service; .timer</t>
        </is>
      </c>
      <c r="C9" s="14" t="inlineStr">
        <is>
          <t>Weekday EOD refresh job</t>
        </is>
      </c>
      <c r="D9" s="14" t="inlineStr">
        <is>
          <t>Cron job/background worker in production</t>
        </is>
      </c>
      <c r="E9" s="14" t="inlineStr">
        <is>
          <t>Partially</t>
        </is>
      </c>
      <c r="F9" s="14" t="inlineStr">
        <is>
          <t>300</t>
        </is>
      </c>
      <c r="G9" s="14" t="inlineStr">
        <is>
          <t>1000</t>
        </is>
      </c>
      <c r="H9" s="14" t="inlineStr">
        <is>
          <t>Job runtime, logs, retries</t>
        </is>
      </c>
      <c r="I9" s="14" t="inlineStr">
        <is>
          <t>Can run on same backend initially</t>
        </is>
      </c>
    </row>
    <row r="10">
      <c r="A10" s="15" t="inlineStr">
        <is>
          <t>Intraday capture worker</t>
        </is>
      </c>
      <c r="B10" s="15" t="inlineStr">
        <is>
          <t>installer/systemd/agentadda-intraday-capture.service</t>
        </is>
      </c>
      <c r="C10" s="15" t="inlineStr">
        <is>
          <t>Always-on quote-tape capture</t>
        </is>
      </c>
      <c r="D10" s="15" t="inlineStr">
        <is>
          <t>Separate background worker if intraday features are paid</t>
        </is>
      </c>
      <c r="E10" s="15" t="inlineStr">
        <is>
          <t>Partially</t>
        </is>
      </c>
      <c r="F10" s="15" t="inlineStr">
        <is>
          <t>700</t>
        </is>
      </c>
      <c r="G10" s="15" t="inlineStr">
        <is>
          <t>3000</t>
        </is>
      </c>
      <c r="H10" s="15" t="inlineStr">
        <is>
          <t>Polling frequency, runtime, data vendor limits</t>
        </is>
      </c>
      <c r="I10" s="15" t="inlineStr">
        <is>
          <t>Cost and compliance depend heavily on data source/license</t>
        </is>
      </c>
    </row>
    <row r="11">
      <c r="A11" s="14" t="inlineStr">
        <is>
          <t>Alert worker</t>
        </is>
      </c>
      <c r="B11" s="14" t="inlineStr">
        <is>
          <t>nse_agent.py monitor/alert commands; terminal live alert modules</t>
        </is>
      </c>
      <c r="C11" s="14" t="inlineStr">
        <is>
          <t>Background alert monitoring and email triggers</t>
        </is>
      </c>
      <c r="D11" s="14" t="inlineStr">
        <is>
          <t>Queue/worker with plan-level frequency controls</t>
        </is>
      </c>
      <c r="E11" s="14" t="inlineStr">
        <is>
          <t>Partially</t>
        </is>
      </c>
      <c r="F11" s="14" t="inlineStr">
        <is>
          <t>500</t>
        </is>
      </c>
      <c r="G11" s="14" t="inlineStr">
        <is>
          <t>2500</t>
        </is>
      </c>
      <c r="H11" s="14" t="inlineStr">
        <is>
          <t>Polling, queue ops, email sends, LLM parser calls</t>
        </is>
      </c>
      <c r="I11" s="14" t="inlineStr">
        <is>
          <t>Must cap by plan</t>
        </is>
      </c>
    </row>
    <row r="12">
      <c r="A12" s="15" t="inlineStr">
        <is>
          <t>Email/report delivery</t>
        </is>
      </c>
      <c r="B12" s="15" t="inlineStr">
        <is>
          <t>terminal/email_dispatcher.py; /email commands</t>
        </is>
      </c>
      <c r="C12" s="15" t="inlineStr">
        <is>
          <t>Send reports and alert emails</t>
        </is>
      </c>
      <c r="D12" s="15" t="inlineStr">
        <is>
          <t>SMTP/API provider with deliverability monitoring</t>
        </is>
      </c>
      <c r="E12" s="15" t="inlineStr">
        <is>
          <t>Partially</t>
        </is>
      </c>
      <c r="F12" s="15" t="inlineStr">
        <is>
          <t>500</t>
        </is>
      </c>
      <c r="G12" s="15" t="inlineStr">
        <is>
          <t>2000</t>
        </is>
      </c>
      <c r="H12" s="15" t="inlineStr">
        <is>
          <t>Email volume, domain reputation, bounce handling</t>
        </is>
      </c>
      <c r="I12" s="15" t="inlineStr">
        <is>
          <t>Existing sheet had generic email infrastructure line</t>
        </is>
      </c>
    </row>
    <row r="13">
      <c r="A13" s="14" t="inlineStr">
        <is>
          <t>Monitoring/logging/cost ledger</t>
        </is>
      </c>
      <c r="B13" s="14" t="inlineStr">
        <is>
          <t>logs/; report_validation.py; cost model requirement</t>
        </is>
      </c>
      <c r="C13" s="14" t="inlineStr">
        <is>
          <t>Operational QA and cost tracking</t>
        </is>
      </c>
      <c r="D13" s="14" t="inlineStr">
        <is>
          <t>Central logs, error tracking, token ledger</t>
        </is>
      </c>
      <c r="E13" s="14" t="inlineStr">
        <is>
          <t>Partially</t>
        </is>
      </c>
      <c r="F13" s="14" t="inlineStr">
        <is>
          <t>500</t>
        </is>
      </c>
      <c r="G13" s="14" t="inlineStr">
        <is>
          <t>2000</t>
        </is>
      </c>
      <c r="H13" s="14" t="inlineStr">
        <is>
          <t>Log volume, retention, dashboards</t>
        </is>
      </c>
      <c r="I13" s="14" t="inlineStr">
        <is>
          <t>Required before paid subscriptions</t>
        </is>
      </c>
    </row>
    <row r="14">
      <c r="A14" s="15" t="inlineStr">
        <is>
          <t>Backup and artifact storage</t>
        </is>
      </c>
      <c r="B14" s="15" t="inlineStr">
        <is>
          <t>reports/; postgres archive; portfolio reports</t>
        </is>
      </c>
      <c r="C14" s="15" t="inlineStr">
        <is>
          <t>Report artifacts and DB backup reserve</t>
        </is>
      </c>
      <c r="D14" s="15" t="inlineStr">
        <is>
          <t>Automated backups and retention policy</t>
        </is>
      </c>
      <c r="E14" s="15" t="inlineStr">
        <is>
          <t>Partially</t>
        </is>
      </c>
      <c r="F14" s="15" t="inlineStr">
        <is>
          <t>500</t>
        </is>
      </c>
      <c r="G14" s="15" t="inlineStr">
        <is>
          <t>1500</t>
        </is>
      </c>
      <c r="H14" s="15" t="inlineStr">
        <is>
          <t>Backup size, retention period, restore testing</t>
        </is>
      </c>
      <c r="I14" s="15" t="inlineStr">
        <is>
          <t>Separate from live DB storage</t>
        </is>
      </c>
    </row>
    <row r="15">
      <c r="A15" s="14" t="inlineStr">
        <is>
          <t>Support/content ops reserve</t>
        </is>
      </c>
      <c r="B15" s="14" t="inlineStr">
        <is>
          <t>Manual report QA and research workflow</t>
        </is>
      </c>
      <c r="C15" s="14" t="inlineStr">
        <is>
          <t>Human review, customer support, report QA</t>
        </is>
      </c>
      <c r="D15" s="14" t="inlineStr">
        <is>
          <t>Lean support budget</t>
        </is>
      </c>
      <c r="E15" s="14" t="inlineStr">
        <is>
          <t>Yes</t>
        </is>
      </c>
      <c r="F15" s="14" t="inlineStr">
        <is>
          <t>5000</t>
        </is>
      </c>
      <c r="G15" s="14" t="inlineStr">
        <is>
          <t>10000</t>
        </is>
      </c>
      <c r="H15" s="14" t="inlineStr">
        <is>
          <t>Support time and manual QA</t>
        </is>
      </c>
      <c r="I15" s="14" t="inlineStr">
        <is>
          <t>Largest non-infra lean fixed cost</t>
        </is>
      </c>
    </row>
    <row r="16">
      <c r="A16" s="15" t="inlineStr">
        <is>
          <t>Market data licensing</t>
        </is>
      </c>
      <c r="B16" s="15" t="inlineStr">
        <is>
          <t>NSE/public data pipelines; local PG</t>
        </is>
      </c>
      <c r="C16" s="15" t="inlineStr">
        <is>
          <t>Current local/internal data ingestion</t>
        </is>
      </c>
      <c r="D16" s="15" t="inlineStr">
        <is>
          <t>Vendor/exchange-compliant data feed if public real-time product</t>
        </is>
      </c>
      <c r="E16" s="15" t="inlineStr">
        <is>
          <t>No</t>
        </is>
      </c>
      <c r="F16" s="15" t="inlineStr">
        <is>
          <t>0</t>
        </is>
      </c>
      <c r="G16" s="15" t="inlineStr">
        <is>
          <t>999999</t>
        </is>
      </c>
      <c r="H16" s="15" t="inlineStr">
        <is>
          <t>Vendor quote required</t>
        </is>
      </c>
      <c r="I16" s="15" t="inlineStr">
        <is>
          <t>Explicitly excluded; can dominate all other infra costs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32" customWidth="1" min="4" max="4"/>
    <col width="23" customWidth="1" min="5" max="5"/>
    <col width="23" customWidth="1" min="6" max="6"/>
    <col width="28" customWidth="1" min="7" max="7"/>
    <col width="42" customWidth="1" min="8" max="8"/>
  </cols>
  <sheetData>
    <row r="1">
      <c r="A1" s="1" t="inlineStr">
        <is>
          <t>Breakeven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Subscribers required for breakeven and 20% operating margin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Fixed Cost Case</t>
        </is>
      </c>
      <c r="B4" s="13" t="inlineStr">
        <is>
          <t>Fixed Cost INR</t>
        </is>
      </c>
      <c r="C4" s="13" t="inlineStr">
        <is>
          <t>Blended ARPU INR</t>
        </is>
      </c>
      <c r="D4" s="13" t="inlineStr">
        <is>
          <t>Blended Variable COGS/User INR</t>
        </is>
      </c>
      <c r="E4" s="13" t="inlineStr">
        <is>
          <t>Contribution/User INR</t>
        </is>
      </c>
      <c r="F4" s="13" t="inlineStr">
        <is>
          <t>Breakeven Subscribers</t>
        </is>
      </c>
      <c r="G4" s="13" t="inlineStr">
        <is>
          <t>Subscribers for 20% Margin</t>
        </is>
      </c>
      <c r="H4" s="13" t="inlineStr">
        <is>
          <t>Commercial Readout</t>
        </is>
      </c>
    </row>
    <row r="5">
      <c r="A5" s="14" t="inlineStr">
        <is>
          <t>Lean Beta</t>
        </is>
      </c>
      <c r="B5" s="14" t="inlineStr">
        <is>
          <t>15000</t>
        </is>
      </c>
      <c r="C5" s="14" t="inlineStr">
        <is>
          <t>320</t>
        </is>
      </c>
      <c r="D5" s="14" t="inlineStr">
        <is>
          <t>99.6</t>
        </is>
      </c>
      <c r="E5" s="14" t="inlineStr">
        <is>
          <t>220.4</t>
        </is>
      </c>
      <c r="F5" s="14" t="inlineStr">
        <is>
          <t>69</t>
        </is>
      </c>
      <c r="G5" s="14" t="inlineStr">
        <is>
          <t>96</t>
        </is>
      </c>
      <c r="H5" s="14" t="inlineStr">
        <is>
          <t>100 users clears 20% margin if infra stays lean</t>
        </is>
      </c>
    </row>
    <row r="6">
      <c r="A6" s="15" t="inlineStr">
        <is>
          <t>Production Low</t>
        </is>
      </c>
      <c r="B6" s="15" t="inlineStr">
        <is>
          <t>25000</t>
        </is>
      </c>
      <c r="C6" s="15" t="inlineStr">
        <is>
          <t>320</t>
        </is>
      </c>
      <c r="D6" s="15" t="inlineStr">
        <is>
          <t>99.6</t>
        </is>
      </c>
      <c r="E6" s="15" t="inlineStr">
        <is>
          <t>220.4</t>
        </is>
      </c>
      <c r="F6" s="15" t="inlineStr">
        <is>
          <t>114</t>
        </is>
      </c>
      <c r="G6" s="15" t="inlineStr">
        <is>
          <t>160</t>
        </is>
      </c>
      <c r="H6" s="15" t="inlineStr">
        <is>
          <t>Need ~160 users for 20% margin at same price/mix</t>
        </is>
      </c>
    </row>
    <row r="7">
      <c r="A7" s="14" t="inlineStr">
        <is>
          <t>Production High</t>
        </is>
      </c>
      <c r="B7" s="14" t="inlineStr">
        <is>
          <t>40000</t>
        </is>
      </c>
      <c r="C7" s="14" t="inlineStr">
        <is>
          <t>320</t>
        </is>
      </c>
      <c r="D7" s="14" t="inlineStr">
        <is>
          <t>99.6</t>
        </is>
      </c>
      <c r="E7" s="14" t="inlineStr">
        <is>
          <t>220.4</t>
        </is>
      </c>
      <c r="F7" s="14" t="inlineStr">
        <is>
          <t>182</t>
        </is>
      </c>
      <c r="G7" s="14" t="inlineStr">
        <is>
          <t>256</t>
        </is>
      </c>
      <c r="H7" s="14" t="inlineStr">
        <is>
          <t>Need ~256 users for 20% margin before market-data license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9" customWidth="1" min="4" max="4"/>
    <col width="16" customWidth="1" min="5" max="5"/>
    <col width="22" customWidth="1" min="6" max="6"/>
    <col width="20" customWidth="1" min="7" max="7"/>
    <col width="42" customWidth="1" min="8" max="8"/>
  </cols>
  <sheetData>
    <row r="1">
      <c r="A1" s="1" t="inlineStr">
        <is>
          <t>Subscriber Growth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Profitability curve across lean beta and production infrastructure cases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3" t="inlineStr">
        <is>
          <t>Fixed Cost Case</t>
        </is>
      </c>
      <c r="B4" s="13" t="inlineStr">
        <is>
          <t>Subscribers</t>
        </is>
      </c>
      <c r="C4" s="13" t="inlineStr">
        <is>
          <t>Revenue INR</t>
        </is>
      </c>
      <c r="D4" s="13" t="inlineStr">
        <is>
          <t>Variable COGS INR</t>
        </is>
      </c>
      <c r="E4" s="13" t="inlineStr">
        <is>
          <t>Fixed Cost INR</t>
        </is>
      </c>
      <c r="F4" s="13" t="inlineStr">
        <is>
          <t>Operating Profit INR</t>
        </is>
      </c>
      <c r="G4" s="13" t="inlineStr">
        <is>
          <t>Operating Margin %</t>
        </is>
      </c>
      <c r="H4" s="13" t="inlineStr">
        <is>
          <t>Readout</t>
        </is>
      </c>
    </row>
    <row r="5">
      <c r="A5" s="14" t="inlineStr">
        <is>
          <t>Lean Beta - 15k</t>
        </is>
      </c>
      <c r="B5" s="14" t="inlineStr">
        <is>
          <t>50</t>
        </is>
      </c>
      <c r="C5" s="14" t="inlineStr">
        <is>
          <t>16000</t>
        </is>
      </c>
      <c r="D5" s="14" t="inlineStr">
        <is>
          <t>4980</t>
        </is>
      </c>
      <c r="E5" s="14" t="inlineStr">
        <is>
          <t>15000</t>
        </is>
      </c>
      <c r="F5" s="14" t="inlineStr">
        <is>
          <t>-3980</t>
        </is>
      </c>
      <c r="G5" s="14" t="inlineStr">
        <is>
          <t>-24.9%</t>
        </is>
      </c>
      <c r="H5" s="14" t="inlineStr">
        <is>
          <t>Below breakeven</t>
        </is>
      </c>
    </row>
    <row r="6">
      <c r="A6" s="15" t="inlineStr">
        <is>
          <t>Lean Beta - 15k</t>
        </is>
      </c>
      <c r="B6" s="15" t="inlineStr">
        <is>
          <t>75</t>
        </is>
      </c>
      <c r="C6" s="15" t="inlineStr">
        <is>
          <t>24000</t>
        </is>
      </c>
      <c r="D6" s="15" t="inlineStr">
        <is>
          <t>7470</t>
        </is>
      </c>
      <c r="E6" s="15" t="inlineStr">
        <is>
          <t>15000</t>
        </is>
      </c>
      <c r="F6" s="15" t="inlineStr">
        <is>
          <t>1530</t>
        </is>
      </c>
      <c r="G6" s="15" t="inlineStr">
        <is>
          <t>6.4%</t>
        </is>
      </c>
      <c r="H6" s="15" t="inlineStr">
        <is>
          <t>Breakeven crossed but below 20% margin</t>
        </is>
      </c>
    </row>
    <row r="7">
      <c r="A7" s="14" t="inlineStr">
        <is>
          <t>Lean Beta - 15k</t>
        </is>
      </c>
      <c r="B7" s="14" t="inlineStr">
        <is>
          <t>100</t>
        </is>
      </c>
      <c r="C7" s="14" t="inlineStr">
        <is>
          <t>32000</t>
        </is>
      </c>
      <c r="D7" s="14" t="inlineStr">
        <is>
          <t>9960</t>
        </is>
      </c>
      <c r="E7" s="14" t="inlineStr">
        <is>
          <t>15000</t>
        </is>
      </c>
      <c r="F7" s="14" t="inlineStr">
        <is>
          <t>7040</t>
        </is>
      </c>
      <c r="G7" s="14" t="inlineStr">
        <is>
          <t>22.0%</t>
        </is>
      </c>
      <c r="H7" s="14" t="inlineStr">
        <is>
          <t>20% margin target crossed</t>
        </is>
      </c>
    </row>
    <row r="8">
      <c r="A8" s="15" t="inlineStr">
        <is>
          <t>Lean Beta - 15k</t>
        </is>
      </c>
      <c r="B8" s="15" t="inlineStr">
        <is>
          <t>125</t>
        </is>
      </c>
      <c r="C8" s="15" t="inlineStr">
        <is>
          <t>40000</t>
        </is>
      </c>
      <c r="D8" s="15" t="inlineStr">
        <is>
          <t>12450</t>
        </is>
      </c>
      <c r="E8" s="15" t="inlineStr">
        <is>
          <t>15000</t>
        </is>
      </c>
      <c r="F8" s="15" t="inlineStr">
        <is>
          <t>12550</t>
        </is>
      </c>
      <c r="G8" s="15" t="inlineStr">
        <is>
          <t>31.4%</t>
        </is>
      </c>
      <c r="H8" s="15" t="inlineStr">
        <is>
          <t>Healthy early margin</t>
        </is>
      </c>
    </row>
    <row r="9">
      <c r="A9" s="14" t="inlineStr">
        <is>
          <t>Lean Beta - 15k</t>
        </is>
      </c>
      <c r="B9" s="14" t="inlineStr">
        <is>
          <t>150</t>
        </is>
      </c>
      <c r="C9" s="14" t="inlineStr">
        <is>
          <t>48000</t>
        </is>
      </c>
      <c r="D9" s="14" t="inlineStr">
        <is>
          <t>14940</t>
        </is>
      </c>
      <c r="E9" s="14" t="inlineStr">
        <is>
          <t>15000</t>
        </is>
      </c>
      <c r="F9" s="14" t="inlineStr">
        <is>
          <t>18060</t>
        </is>
      </c>
      <c r="G9" s="14" t="inlineStr">
        <is>
          <t>37.6%</t>
        </is>
      </c>
      <c r="H9" s="14" t="inlineStr">
        <is>
          <t>Strong paid beta economics</t>
        </is>
      </c>
    </row>
    <row r="10">
      <c r="A10" s="15" t="inlineStr">
        <is>
          <t>Lean Beta - 15k</t>
        </is>
      </c>
      <c r="B10" s="15" t="inlineStr">
        <is>
          <t>200</t>
        </is>
      </c>
      <c r="C10" s="15" t="inlineStr">
        <is>
          <t>64000</t>
        </is>
      </c>
      <c r="D10" s="15" t="inlineStr">
        <is>
          <t>19920</t>
        </is>
      </c>
      <c r="E10" s="15" t="inlineStr">
        <is>
          <t>15000</t>
        </is>
      </c>
      <c r="F10" s="15" t="inlineStr">
        <is>
          <t>29080</t>
        </is>
      </c>
      <c r="G10" s="15" t="inlineStr">
        <is>
          <t>45.4%</t>
        </is>
      </c>
      <c r="H10" s="15" t="inlineStr">
        <is>
          <t>Good operating leverage</t>
        </is>
      </c>
    </row>
    <row r="11">
      <c r="A11" s="14" t="inlineStr">
        <is>
          <t>Lean Beta - 15k</t>
        </is>
      </c>
      <c r="B11" s="14" t="inlineStr">
        <is>
          <t>300</t>
        </is>
      </c>
      <c r="C11" s="14" t="inlineStr">
        <is>
          <t>96000</t>
        </is>
      </c>
      <c r="D11" s="14" t="inlineStr">
        <is>
          <t>29880</t>
        </is>
      </c>
      <c r="E11" s="14" t="inlineStr">
        <is>
          <t>15000</t>
        </is>
      </c>
      <c r="F11" s="14" t="inlineStr">
        <is>
          <t>51120</t>
        </is>
      </c>
      <c r="G11" s="14" t="inlineStr">
        <is>
          <t>53.2%</t>
        </is>
      </c>
      <c r="H11" s="14" t="inlineStr">
        <is>
          <t>Scale begins to fund product investment</t>
        </is>
      </c>
    </row>
    <row r="12">
      <c r="A12" s="15" t="inlineStr">
        <is>
          <t>Lean Beta - 15k</t>
        </is>
      </c>
      <c r="B12" s="15" t="inlineStr">
        <is>
          <t>500</t>
        </is>
      </c>
      <c r="C12" s="15" t="inlineStr">
        <is>
          <t>160000</t>
        </is>
      </c>
      <c r="D12" s="15" t="inlineStr">
        <is>
          <t>49800</t>
        </is>
      </c>
      <c r="E12" s="15" t="inlineStr">
        <is>
          <t>15000</t>
        </is>
      </c>
      <c r="F12" s="15" t="inlineStr">
        <is>
          <t>95200</t>
        </is>
      </c>
      <c r="G12" s="15" t="inlineStr">
        <is>
          <t>59.5%</t>
        </is>
      </c>
      <c r="H12" s="15" t="inlineStr">
        <is>
          <t>Very healthy if support burden stays controlled</t>
        </is>
      </c>
    </row>
    <row r="13">
      <c r="A13" s="14" t="inlineStr">
        <is>
          <t>Production Low - 25k</t>
        </is>
      </c>
      <c r="B13" s="14" t="inlineStr">
        <is>
          <t>50</t>
        </is>
      </c>
      <c r="C13" s="14" t="inlineStr">
        <is>
          <t>16000</t>
        </is>
      </c>
      <c r="D13" s="14" t="inlineStr">
        <is>
          <t>4980</t>
        </is>
      </c>
      <c r="E13" s="14" t="inlineStr">
        <is>
          <t>25000</t>
        </is>
      </c>
      <c r="F13" s="14" t="inlineStr">
        <is>
          <t>-13980</t>
        </is>
      </c>
      <c r="G13" s="14" t="inlineStr">
        <is>
          <t>-87.4%</t>
        </is>
      </c>
      <c r="H13" s="14" t="inlineStr">
        <is>
          <t>Not viable</t>
        </is>
      </c>
    </row>
    <row r="14">
      <c r="A14" s="15" t="inlineStr">
        <is>
          <t>Production Low - 25k</t>
        </is>
      </c>
      <c r="B14" s="15" t="inlineStr">
        <is>
          <t>75</t>
        </is>
      </c>
      <c r="C14" s="15" t="inlineStr">
        <is>
          <t>24000</t>
        </is>
      </c>
      <c r="D14" s="15" t="inlineStr">
        <is>
          <t>7470</t>
        </is>
      </c>
      <c r="E14" s="15" t="inlineStr">
        <is>
          <t>25000</t>
        </is>
      </c>
      <c r="F14" s="15" t="inlineStr">
        <is>
          <t>-8470</t>
        </is>
      </c>
      <c r="G14" s="15" t="inlineStr">
        <is>
          <t>-35.3%</t>
        </is>
      </c>
      <c r="H14" s="15" t="inlineStr">
        <is>
          <t>Not viable</t>
        </is>
      </c>
    </row>
    <row r="15">
      <c r="A15" s="14" t="inlineStr">
        <is>
          <t>Production Low - 25k</t>
        </is>
      </c>
      <c r="B15" s="14" t="inlineStr">
        <is>
          <t>100</t>
        </is>
      </c>
      <c r="C15" s="14" t="inlineStr">
        <is>
          <t>32000</t>
        </is>
      </c>
      <c r="D15" s="14" t="inlineStr">
        <is>
          <t>9960</t>
        </is>
      </c>
      <c r="E15" s="14" t="inlineStr">
        <is>
          <t>25000</t>
        </is>
      </c>
      <c r="F15" s="14" t="inlineStr">
        <is>
          <t>-2960</t>
        </is>
      </c>
      <c r="G15" s="14" t="inlineStr">
        <is>
          <t>-9.2%</t>
        </is>
      </c>
      <c r="H15" s="14" t="inlineStr">
        <is>
          <t>Loss-making after production infra</t>
        </is>
      </c>
    </row>
    <row r="16">
      <c r="A16" s="15" t="inlineStr">
        <is>
          <t>Production Low - 25k</t>
        </is>
      </c>
      <c r="B16" s="15" t="inlineStr">
        <is>
          <t>125</t>
        </is>
      </c>
      <c r="C16" s="15" t="inlineStr">
        <is>
          <t>40000</t>
        </is>
      </c>
      <c r="D16" s="15" t="inlineStr">
        <is>
          <t>12450</t>
        </is>
      </c>
      <c r="E16" s="15" t="inlineStr">
        <is>
          <t>25000</t>
        </is>
      </c>
      <c r="F16" s="15" t="inlineStr">
        <is>
          <t>2550</t>
        </is>
      </c>
      <c r="G16" s="15" t="inlineStr">
        <is>
          <t>6.4%</t>
        </is>
      </c>
      <c r="H16" s="15" t="inlineStr">
        <is>
          <t>Breakeven crossed but below target</t>
        </is>
      </c>
    </row>
    <row r="17">
      <c r="A17" s="14" t="inlineStr">
        <is>
          <t>Production Low - 25k</t>
        </is>
      </c>
      <c r="B17" s="14" t="inlineStr">
        <is>
          <t>150</t>
        </is>
      </c>
      <c r="C17" s="14" t="inlineStr">
        <is>
          <t>48000</t>
        </is>
      </c>
      <c r="D17" s="14" t="inlineStr">
        <is>
          <t>14940</t>
        </is>
      </c>
      <c r="E17" s="14" t="inlineStr">
        <is>
          <t>25000</t>
        </is>
      </c>
      <c r="F17" s="14" t="inlineStr">
        <is>
          <t>8060</t>
        </is>
      </c>
      <c r="G17" s="14" t="inlineStr">
        <is>
          <t>16.8%</t>
        </is>
      </c>
      <c r="H17" s="14" t="inlineStr">
        <is>
          <t>Close to target but still below 20%</t>
        </is>
      </c>
    </row>
    <row r="18">
      <c r="A18" s="15" t="inlineStr">
        <is>
          <t>Production Low - 25k</t>
        </is>
      </c>
      <c r="B18" s="15" t="inlineStr">
        <is>
          <t>200</t>
        </is>
      </c>
      <c r="C18" s="15" t="inlineStr">
        <is>
          <t>64000</t>
        </is>
      </c>
      <c r="D18" s="15" t="inlineStr">
        <is>
          <t>19920</t>
        </is>
      </c>
      <c r="E18" s="15" t="inlineStr">
        <is>
          <t>25000</t>
        </is>
      </c>
      <c r="F18" s="15" t="inlineStr">
        <is>
          <t>19080</t>
        </is>
      </c>
      <c r="G18" s="15" t="inlineStr">
        <is>
          <t>29.8%</t>
        </is>
      </c>
      <c r="H18" s="15" t="inlineStr">
        <is>
          <t>20% margin target crossed</t>
        </is>
      </c>
    </row>
    <row r="19">
      <c r="A19" s="14" t="inlineStr">
        <is>
          <t>Production Low - 25k</t>
        </is>
      </c>
      <c r="B19" s="14" t="inlineStr">
        <is>
          <t>300</t>
        </is>
      </c>
      <c r="C19" s="14" t="inlineStr">
        <is>
          <t>96000</t>
        </is>
      </c>
      <c r="D19" s="14" t="inlineStr">
        <is>
          <t>29880</t>
        </is>
      </c>
      <c r="E19" s="14" t="inlineStr">
        <is>
          <t>25000</t>
        </is>
      </c>
      <c r="F19" s="14" t="inlineStr">
        <is>
          <t>41120</t>
        </is>
      </c>
      <c r="G19" s="14" t="inlineStr">
        <is>
          <t>42.8%</t>
        </is>
      </c>
      <c r="H19" s="14" t="inlineStr">
        <is>
          <t>Healthy</t>
        </is>
      </c>
    </row>
    <row r="20">
      <c r="A20" s="15" t="inlineStr">
        <is>
          <t>Production Low - 25k</t>
        </is>
      </c>
      <c r="B20" s="15" t="inlineStr">
        <is>
          <t>500</t>
        </is>
      </c>
      <c r="C20" s="15" t="inlineStr">
        <is>
          <t>160000</t>
        </is>
      </c>
      <c r="D20" s="15" t="inlineStr">
        <is>
          <t>49800</t>
        </is>
      </c>
      <c r="E20" s="15" t="inlineStr">
        <is>
          <t>25000</t>
        </is>
      </c>
      <c r="F20" s="15" t="inlineStr">
        <is>
          <t>85200</t>
        </is>
      </c>
      <c r="G20" s="15" t="inlineStr">
        <is>
          <t>53.2%</t>
        </is>
      </c>
      <c r="H20" s="15" t="inlineStr">
        <is>
          <t>Strong</t>
        </is>
      </c>
    </row>
    <row r="21">
      <c r="A21" s="14" t="inlineStr">
        <is>
          <t>Production High - 40k</t>
        </is>
      </c>
      <c r="B21" s="14" t="inlineStr">
        <is>
          <t>50</t>
        </is>
      </c>
      <c r="C21" s="14" t="inlineStr">
        <is>
          <t>16000</t>
        </is>
      </c>
      <c r="D21" s="14" t="inlineStr">
        <is>
          <t>4980</t>
        </is>
      </c>
      <c r="E21" s="14" t="inlineStr">
        <is>
          <t>40000</t>
        </is>
      </c>
      <c r="F21" s="14" t="inlineStr">
        <is>
          <t>-28980</t>
        </is>
      </c>
      <c r="G21" s="14" t="inlineStr">
        <is>
          <t>-181.1%</t>
        </is>
      </c>
      <c r="H21" s="14" t="inlineStr">
        <is>
          <t>Not viable</t>
        </is>
      </c>
    </row>
    <row r="22">
      <c r="A22" s="15" t="inlineStr">
        <is>
          <t>Production High - 40k</t>
        </is>
      </c>
      <c r="B22" s="15" t="inlineStr">
        <is>
          <t>75</t>
        </is>
      </c>
      <c r="C22" s="15" t="inlineStr">
        <is>
          <t>24000</t>
        </is>
      </c>
      <c r="D22" s="15" t="inlineStr">
        <is>
          <t>7470</t>
        </is>
      </c>
      <c r="E22" s="15" t="inlineStr">
        <is>
          <t>40000</t>
        </is>
      </c>
      <c r="F22" s="15" t="inlineStr">
        <is>
          <t>-23470</t>
        </is>
      </c>
      <c r="G22" s="15" t="inlineStr">
        <is>
          <t>-97.8%</t>
        </is>
      </c>
      <c r="H22" s="15" t="inlineStr">
        <is>
          <t>Not viable</t>
        </is>
      </c>
    </row>
    <row r="23">
      <c r="A23" s="14" t="inlineStr">
        <is>
          <t>Production High - 40k</t>
        </is>
      </c>
      <c r="B23" s="14" t="inlineStr">
        <is>
          <t>100</t>
        </is>
      </c>
      <c r="C23" s="14" t="inlineStr">
        <is>
          <t>32000</t>
        </is>
      </c>
      <c r="D23" s="14" t="inlineStr">
        <is>
          <t>9960</t>
        </is>
      </c>
      <c r="E23" s="14" t="inlineStr">
        <is>
          <t>40000</t>
        </is>
      </c>
      <c r="F23" s="14" t="inlineStr">
        <is>
          <t>-17960</t>
        </is>
      </c>
      <c r="G23" s="14" t="inlineStr">
        <is>
          <t>-56.1%</t>
        </is>
      </c>
      <c r="H23" s="14" t="inlineStr">
        <is>
          <t>Not viable</t>
        </is>
      </c>
    </row>
    <row r="24">
      <c r="A24" s="15" t="inlineStr">
        <is>
          <t>Production High - 40k</t>
        </is>
      </c>
      <c r="B24" s="15" t="inlineStr">
        <is>
          <t>125</t>
        </is>
      </c>
      <c r="C24" s="15" t="inlineStr">
        <is>
          <t>40000</t>
        </is>
      </c>
      <c r="D24" s="15" t="inlineStr">
        <is>
          <t>12450</t>
        </is>
      </c>
      <c r="E24" s="15" t="inlineStr">
        <is>
          <t>40000</t>
        </is>
      </c>
      <c r="F24" s="15" t="inlineStr">
        <is>
          <t>-12450</t>
        </is>
      </c>
      <c r="G24" s="15" t="inlineStr">
        <is>
          <t>-31.1%</t>
        </is>
      </c>
      <c r="H24" s="15" t="inlineStr">
        <is>
          <t>Not viable</t>
        </is>
      </c>
    </row>
    <row r="25">
      <c r="A25" s="14" t="inlineStr">
        <is>
          <t>Production High - 40k</t>
        </is>
      </c>
      <c r="B25" s="14" t="inlineStr">
        <is>
          <t>150</t>
        </is>
      </c>
      <c r="C25" s="14" t="inlineStr">
        <is>
          <t>48000</t>
        </is>
      </c>
      <c r="D25" s="14" t="inlineStr">
        <is>
          <t>14940</t>
        </is>
      </c>
      <c r="E25" s="14" t="inlineStr">
        <is>
          <t>40000</t>
        </is>
      </c>
      <c r="F25" s="14" t="inlineStr">
        <is>
          <t>-6940</t>
        </is>
      </c>
      <c r="G25" s="14" t="inlineStr">
        <is>
          <t>-14.5%</t>
        </is>
      </c>
      <c r="H25" s="14" t="inlineStr">
        <is>
          <t>Not viable</t>
        </is>
      </c>
    </row>
    <row r="26">
      <c r="A26" s="15" t="inlineStr">
        <is>
          <t>Production High - 40k</t>
        </is>
      </c>
      <c r="B26" s="15" t="inlineStr">
        <is>
          <t>200</t>
        </is>
      </c>
      <c r="C26" s="15" t="inlineStr">
        <is>
          <t>64000</t>
        </is>
      </c>
      <c r="D26" s="15" t="inlineStr">
        <is>
          <t>19920</t>
        </is>
      </c>
      <c r="E26" s="15" t="inlineStr">
        <is>
          <t>40000</t>
        </is>
      </c>
      <c r="F26" s="15" t="inlineStr">
        <is>
          <t>4080</t>
        </is>
      </c>
      <c r="G26" s="15" t="inlineStr">
        <is>
          <t>6.4%</t>
        </is>
      </c>
      <c r="H26" s="15" t="inlineStr">
        <is>
          <t>Breakeven crossed but below target</t>
        </is>
      </c>
    </row>
    <row r="27">
      <c r="A27" s="14" t="inlineStr">
        <is>
          <t>Production High - 40k</t>
        </is>
      </c>
      <c r="B27" s="14" t="inlineStr">
        <is>
          <t>300</t>
        </is>
      </c>
      <c r="C27" s="14" t="inlineStr">
        <is>
          <t>96000</t>
        </is>
      </c>
      <c r="D27" s="14" t="inlineStr">
        <is>
          <t>29880</t>
        </is>
      </c>
      <c r="E27" s="14" t="inlineStr">
        <is>
          <t>40000</t>
        </is>
      </c>
      <c r="F27" s="14" t="inlineStr">
        <is>
          <t>26120</t>
        </is>
      </c>
      <c r="G27" s="14" t="inlineStr">
        <is>
          <t>27.2%</t>
        </is>
      </c>
      <c r="H27" s="14" t="inlineStr">
        <is>
          <t>20% margin target crossed</t>
        </is>
      </c>
    </row>
    <row r="28">
      <c r="A28" s="15" t="inlineStr">
        <is>
          <t>Production High - 40k</t>
        </is>
      </c>
      <c r="B28" s="15" t="inlineStr">
        <is>
          <t>500</t>
        </is>
      </c>
      <c r="C28" s="15" t="inlineStr">
        <is>
          <t>160000</t>
        </is>
      </c>
      <c r="D28" s="15" t="inlineStr">
        <is>
          <t>49800</t>
        </is>
      </c>
      <c r="E28" s="15" t="inlineStr">
        <is>
          <t>40000</t>
        </is>
      </c>
      <c r="F28" s="15" t="inlineStr">
        <is>
          <t>70200</t>
        </is>
      </c>
      <c r="G28" s="15" t="inlineStr">
        <is>
          <t>43.9%</t>
        </is>
      </c>
      <c r="H28" s="15" t="inlineStr">
        <is>
          <t>Healthy</t>
        </is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3" customWidth="1" min="4" max="4"/>
    <col width="20" customWidth="1" min="5" max="5"/>
    <col width="15" customWidth="1" min="6" max="6"/>
    <col width="14" customWidth="1" min="7" max="7"/>
    <col width="23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100-User Subscription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Base-case paid beta mix with breakeven and 20% profit target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3" t="inlineStr">
        <is>
          <t>Plan</t>
        </is>
      </c>
      <c r="B4" s="13" t="inlineStr">
        <is>
          <t>Users</t>
        </is>
      </c>
      <c r="C4" s="13" t="inlineStr">
        <is>
          <t>Price/User</t>
        </is>
      </c>
      <c r="D4" s="13" t="inlineStr">
        <is>
          <t>Revenue</t>
        </is>
      </c>
      <c r="E4" s="13" t="inlineStr">
        <is>
          <t>Variable COGS/User</t>
        </is>
      </c>
      <c r="F4" s="13" t="inlineStr">
        <is>
          <t>Variable COGS</t>
        </is>
      </c>
      <c r="G4" s="13" t="inlineStr">
        <is>
          <t>Contribution</t>
        </is>
      </c>
      <c r="H4" s="13" t="inlineStr">
        <is>
          <t>Fixed Cost Allocation</t>
        </is>
      </c>
      <c r="I4" s="13" t="inlineStr">
        <is>
          <t>Operating Profit</t>
        </is>
      </c>
      <c r="J4" s="13" t="inlineStr">
        <is>
          <t>Operating Margin</t>
        </is>
      </c>
      <c r="K4" s="13" t="inlineStr">
        <is>
          <t>Notes</t>
        </is>
      </c>
    </row>
    <row r="5">
      <c r="A5" s="14" t="inlineStr">
        <is>
          <t>Starter</t>
        </is>
      </c>
      <c r="B5" s="14" t="n">
        <v>50</v>
      </c>
      <c r="C5" s="16" t="n">
        <v>149</v>
      </c>
      <c r="D5" s="16">
        <f>B5*C5</f>
        <v/>
      </c>
      <c r="E5" s="16" t="n">
        <v>30</v>
      </c>
      <c r="F5" s="16">
        <f>B5*E5</f>
        <v/>
      </c>
      <c r="G5" s="16">
        <f>D5-F5</f>
        <v/>
      </c>
      <c r="H5" s="16" t="n">
        <v>7500</v>
      </c>
      <c r="I5" s="16">
        <f>G5-H5</f>
        <v/>
      </c>
      <c r="J5" s="18">
        <f>I5/D5</f>
        <v/>
      </c>
      <c r="K5" s="14" t="inlineStr">
        <is>
          <t>Plan-level view before cross-plan subsidy</t>
        </is>
      </c>
    </row>
    <row r="6">
      <c r="A6" s="15" t="inlineStr">
        <is>
          <t>Plus</t>
        </is>
      </c>
      <c r="B6" s="15" t="n">
        <v>35</v>
      </c>
      <c r="C6" s="17" t="n">
        <v>299</v>
      </c>
      <c r="D6" s="17">
        <f>B6*C6</f>
        <v/>
      </c>
      <c r="E6" s="17" t="n">
        <v>90</v>
      </c>
      <c r="F6" s="17">
        <f>B6*E6</f>
        <v/>
      </c>
      <c r="G6" s="17">
        <f>D6-F6</f>
        <v/>
      </c>
      <c r="H6" s="17" t="n">
        <v>5250</v>
      </c>
      <c r="I6" s="17">
        <f>G6-H6</f>
        <v/>
      </c>
      <c r="J6" s="19">
        <f>I6/D6</f>
        <v/>
      </c>
      <c r="K6" s="15" t="inlineStr">
        <is>
          <t>Near 20% margin on standalone allocation</t>
        </is>
      </c>
    </row>
    <row r="7">
      <c r="A7" s="14" t="inlineStr">
        <is>
          <t>Pro</t>
        </is>
      </c>
      <c r="B7" s="14" t="n">
        <v>12</v>
      </c>
      <c r="C7" s="16" t="n">
        <v>799</v>
      </c>
      <c r="D7" s="16">
        <f>B7*C7</f>
        <v/>
      </c>
      <c r="E7" s="16" t="n">
        <v>280</v>
      </c>
      <c r="F7" s="16">
        <f>B7*E7</f>
        <v/>
      </c>
      <c r="G7" s="16">
        <f>D7-F7</f>
        <v/>
      </c>
      <c r="H7" s="16" t="n">
        <v>1800</v>
      </c>
      <c r="I7" s="16">
        <f>G7-H7</f>
        <v/>
      </c>
      <c r="J7" s="18">
        <f>I7/D7</f>
        <v/>
      </c>
      <c r="K7" s="14" t="inlineStr">
        <is>
          <t>Strong margin if deep research capped</t>
        </is>
      </c>
    </row>
    <row r="8">
      <c r="A8" s="15" t="inlineStr">
        <is>
          <t>Power</t>
        </is>
      </c>
      <c r="B8" s="15" t="n">
        <v>3</v>
      </c>
      <c r="C8" s="17" t="n">
        <v>1499</v>
      </c>
      <c r="D8" s="17">
        <f>B8*C8</f>
        <v/>
      </c>
      <c r="E8" s="17" t="n">
        <v>650</v>
      </c>
      <c r="F8" s="17">
        <f>B8*E8</f>
        <v/>
      </c>
      <c r="G8" s="17">
        <f>D8-F8</f>
        <v/>
      </c>
      <c r="H8" s="17" t="n">
        <v>450</v>
      </c>
      <c r="I8" s="17">
        <f>G8-H8</f>
        <v/>
      </c>
      <c r="J8" s="19">
        <f>I8/D8</f>
        <v/>
      </c>
      <c r="K8" s="15" t="inlineStr">
        <is>
          <t>Requires fair-use controls</t>
        </is>
      </c>
    </row>
    <row r="9">
      <c r="A9" s="14" t="inlineStr">
        <is>
          <t>Total</t>
        </is>
      </c>
      <c r="B9" s="14" t="n">
        <v>100</v>
      </c>
      <c r="C9" s="16" t="n">
        <v>320</v>
      </c>
      <c r="D9" s="16">
        <f>B9*C9</f>
        <v/>
      </c>
      <c r="E9" s="16" t="n">
        <v>99.59999999999999</v>
      </c>
      <c r="F9" s="16">
        <f>B9*E9</f>
        <v/>
      </c>
      <c r="G9" s="16">
        <f>D9-F9</f>
        <v/>
      </c>
      <c r="H9" s="16" t="n">
        <v>15000</v>
      </c>
      <c r="I9" s="16">
        <f>G9-H9</f>
        <v/>
      </c>
      <c r="J9" s="18">
        <f>I9/D9</f>
        <v/>
      </c>
      <c r="K9" s="14" t="inlineStr">
        <is>
          <t>Base 100-user paid beta mix; price and COGS/user are blended averages</t>
        </is>
      </c>
    </row>
    <row r="10">
      <c r="A10" s="20" t="inlineStr">
        <is>
          <t>Formula check total</t>
        </is>
      </c>
      <c r="B10" s="20">
        <f>SUM(B5:B9)</f>
        <v/>
      </c>
      <c r="C10" s="21">
        <f>D10/B10</f>
        <v/>
      </c>
      <c r="D10" s="21">
        <f>SUM(D5:D9)</f>
        <v/>
      </c>
      <c r="E10" s="21">
        <f>F10/B10</f>
        <v/>
      </c>
      <c r="F10" s="21">
        <f>SUM(F5:F9)</f>
        <v/>
      </c>
      <c r="G10" s="21">
        <f>SUM(G5:G9)</f>
        <v/>
      </c>
      <c r="H10" s="21">
        <f>SUM(H5:H9)</f>
        <v/>
      </c>
      <c r="I10" s="21">
        <f>SUM(I5:I9)</f>
        <v/>
      </c>
      <c r="J10" s="22">
        <f>I10/D10</f>
        <v/>
      </c>
      <c r="K10" s="20" t="inlineStr">
        <is>
          <t>All formulas driven from rows above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3" t="inlineStr">
        <is>
          <t>Breakeven / 20% Margin Check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cost</t>
        </is>
      </c>
      <c r="B14" s="24">
        <f>F10+H10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Breakeven revenue</t>
        </is>
      </c>
      <c r="B15" s="24">
        <f>B14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Revenue required for 20% operating margin</t>
        </is>
      </c>
      <c r="B16" s="24">
        <f>B14/0.8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Actual revenue</t>
        </is>
      </c>
      <c r="B17" s="24">
        <f>D10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Headroom vs 20% target</t>
        </is>
      </c>
      <c r="B18" s="24">
        <f>B17-B16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</sheetData>
  <mergeCells count="3">
    <mergeCell ref="A2:K2"/>
    <mergeCell ref="A1:K1"/>
    <mergeCell ref="A13:F1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2" customWidth="1" min="3" max="3"/>
    <col width="10" customWidth="1" min="4" max="4"/>
    <col width="20" customWidth="1" min="5" max="5"/>
    <col width="15" customWidth="1" min="6" max="6"/>
    <col width="12" customWidth="1" min="7" max="7"/>
    <col width="14" customWidth="1" min="8" max="8"/>
    <col width="10" customWidth="1" min="9" max="9"/>
    <col width="44" customWidth="1" min="10" max="10"/>
  </cols>
  <sheetData>
    <row r="1">
      <c r="A1" s="1" t="inlineStr">
        <is>
          <t>Subscription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Downside/upside cases for 100 users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3" t="inlineStr">
        <is>
          <t>Scenario</t>
        </is>
      </c>
      <c r="B4" s="13" t="inlineStr">
        <is>
          <t>Users</t>
        </is>
      </c>
      <c r="C4" s="13" t="inlineStr">
        <is>
          <t>Price/User</t>
        </is>
      </c>
      <c r="D4" s="13" t="inlineStr">
        <is>
          <t>Revenue</t>
        </is>
      </c>
      <c r="E4" s="13" t="inlineStr">
        <is>
          <t>Variable COGS/User</t>
        </is>
      </c>
      <c r="F4" s="13" t="inlineStr">
        <is>
          <t>Variable COGS</t>
        </is>
      </c>
      <c r="G4" s="13" t="inlineStr">
        <is>
          <t>Fixed Cost</t>
        </is>
      </c>
      <c r="H4" s="13" t="inlineStr">
        <is>
          <t>Profit</t>
        </is>
      </c>
      <c r="I4" s="13" t="inlineStr">
        <is>
          <t>Margin</t>
        </is>
      </c>
      <c r="J4" s="13" t="inlineStr">
        <is>
          <t>Conclusion</t>
        </is>
      </c>
    </row>
    <row r="5">
      <c r="A5" s="14" t="inlineStr">
        <is>
          <t>All Starter</t>
        </is>
      </c>
      <c r="B5" s="14" t="n">
        <v>100</v>
      </c>
      <c r="C5" s="16" t="n">
        <v>149</v>
      </c>
      <c r="D5" s="16">
        <f>B5*C5</f>
        <v/>
      </c>
      <c r="E5" s="16" t="n">
        <v>30</v>
      </c>
      <c r="F5" s="16">
        <f>B5*E5</f>
        <v/>
      </c>
      <c r="G5" s="16" t="n">
        <v>15000</v>
      </c>
      <c r="H5" s="16">
        <f>D5-F5-G5</f>
        <v/>
      </c>
      <c r="I5" s="18">
        <f>H5/D5</f>
        <v/>
      </c>
      <c r="J5" s="14" t="inlineStr">
        <is>
          <t>Not viable at 100 users with fixed cost</t>
        </is>
      </c>
    </row>
    <row r="6">
      <c r="A6" s="15" t="inlineStr">
        <is>
          <t>All Plus</t>
        </is>
      </c>
      <c r="B6" s="15" t="n">
        <v>100</v>
      </c>
      <c r="C6" s="17" t="n">
        <v>299</v>
      </c>
      <c r="D6" s="17">
        <f>B6*C6</f>
        <v/>
      </c>
      <c r="E6" s="17" t="n">
        <v>90</v>
      </c>
      <c r="F6" s="17">
        <f>B6*E6</f>
        <v/>
      </c>
      <c r="G6" s="17" t="n">
        <v>15000</v>
      </c>
      <c r="H6" s="17">
        <f>D6-F6-G6</f>
        <v/>
      </c>
      <c r="I6" s="19">
        <f>H6/D6</f>
        <v/>
      </c>
      <c r="J6" s="15" t="inlineStr">
        <is>
          <t>Almost clears 20% target</t>
        </is>
      </c>
    </row>
    <row r="7">
      <c r="A7" s="14" t="inlineStr">
        <is>
          <t>All Pro</t>
        </is>
      </c>
      <c r="B7" s="14" t="n">
        <v>100</v>
      </c>
      <c r="C7" s="16" t="n">
        <v>799</v>
      </c>
      <c r="D7" s="16">
        <f>B7*C7</f>
        <v/>
      </c>
      <c r="E7" s="16" t="n">
        <v>280</v>
      </c>
      <c r="F7" s="16">
        <f>B7*E7</f>
        <v/>
      </c>
      <c r="G7" s="16" t="n">
        <v>15000</v>
      </c>
      <c r="H7" s="16">
        <f>D7-F7-G7</f>
        <v/>
      </c>
      <c r="I7" s="18">
        <f>H7/D7</f>
        <v/>
      </c>
      <c r="J7" s="14" t="inlineStr">
        <is>
          <t>Commercially attractive but usage must be capped</t>
        </is>
      </c>
    </row>
    <row r="8">
      <c r="A8" s="15" t="inlineStr">
        <is>
          <t>Base Mix - Production Infra Low</t>
        </is>
      </c>
      <c r="B8" s="15" t="n">
        <v>100</v>
      </c>
      <c r="C8" s="17" t="n">
        <v>320</v>
      </c>
      <c r="D8" s="17">
        <f>B8*C8</f>
        <v/>
      </c>
      <c r="E8" s="17" t="n">
        <v>99.59999999999999</v>
      </c>
      <c r="F8" s="17">
        <f>B8*E8</f>
        <v/>
      </c>
      <c r="G8" s="17" t="n">
        <v>25000</v>
      </c>
      <c r="H8" s="17">
        <f>D8-F8-G8</f>
        <v/>
      </c>
      <c r="I8" s="19">
        <f>H8/D8</f>
        <v/>
      </c>
      <c r="J8" s="15" t="inlineStr">
        <is>
          <t>Same user mix with public FastAPI managed PG and workers at low production estimate</t>
        </is>
      </c>
    </row>
    <row r="9">
      <c r="A9" s="14" t="inlineStr">
        <is>
          <t>Base Mix - Production Infra High</t>
        </is>
      </c>
      <c r="B9" s="14" t="n">
        <v>100</v>
      </c>
      <c r="C9" s="16" t="n">
        <v>320</v>
      </c>
      <c r="D9" s="16">
        <f>B9*C9</f>
        <v/>
      </c>
      <c r="E9" s="16" t="n">
        <v>99.59999999999999</v>
      </c>
      <c r="F9" s="16">
        <f>B9*E9</f>
        <v/>
      </c>
      <c r="G9" s="16" t="n">
        <v>40000</v>
      </c>
      <c r="H9" s="16">
        <f>D9-F9-G9</f>
        <v/>
      </c>
      <c r="I9" s="18">
        <f>H9/D9</f>
        <v/>
      </c>
      <c r="J9" s="14" t="inlineStr">
        <is>
          <t>Same user mix with higher production infra before market-data license</t>
        </is>
      </c>
    </row>
    <row r="10">
      <c r="A10" s="15" t="inlineStr">
        <is>
          <t>Plus Price 399 - Production Infra Low</t>
        </is>
      </c>
      <c r="B10" s="15" t="n">
        <v>100</v>
      </c>
      <c r="C10" s="17" t="n">
        <v>399</v>
      </c>
      <c r="D10" s="17">
        <f>B10*C10</f>
        <v/>
      </c>
      <c r="E10" s="17" t="n">
        <v>90</v>
      </c>
      <c r="F10" s="17">
        <f>B10*E10</f>
        <v/>
      </c>
      <c r="G10" s="17" t="n">
        <v>25000</v>
      </c>
      <c r="H10" s="17">
        <f>D10-F10-G10</f>
        <v/>
      </c>
      <c r="I10" s="19">
        <f>H10/D10</f>
        <v/>
      </c>
      <c r="J10" s="15" t="inlineStr">
        <is>
          <t>Plus needs around 425 to clear 20% margin with 25k fixed cost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5" customWidth="1" min="3" max="3"/>
    <col width="35" customWidth="1" min="4" max="4"/>
  </cols>
  <sheetData>
    <row r="1">
      <c r="A1" s="1" t="inlineStr">
        <is>
          <t>Sources and Caveats</t>
        </is>
      </c>
      <c r="B1" s="2" t="n"/>
      <c r="C1" s="2" t="n"/>
      <c r="D1" s="2" t="n"/>
    </row>
    <row r="2">
      <c r="A2" s="3" t="inlineStr">
        <is>
          <t>Provider pricing and internal product-scope references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3" t="inlineStr">
        <is>
          <t>Source</t>
        </is>
      </c>
      <c r="B4" s="13" t="inlineStr">
        <is>
          <t>URL / Path</t>
        </is>
      </c>
      <c r="C4" s="13" t="inlineStr">
        <is>
          <t>Use</t>
        </is>
      </c>
      <c r="D4" s="13" t="inlineStr">
        <is>
          <t>Notes</t>
        </is>
      </c>
    </row>
    <row r="5">
      <c r="A5" s="14" t="inlineStr">
        <is>
          <t>OpenAI model catalog</t>
        </is>
      </c>
      <c r="B5" s="14" t="inlineStr">
        <is>
          <t>https://developers.openai.com/api/docs/models</t>
        </is>
      </c>
      <c r="C5" s="14" t="inlineStr">
        <is>
          <t>OpenAI model selection/pricing</t>
        </is>
      </c>
      <c r="D5" s="14" t="inlineStr">
        <is>
          <t>Fetched 2026-08-23</t>
        </is>
      </c>
    </row>
    <row r="6">
      <c r="A6" s="15" t="inlineStr">
        <is>
          <t>OpenAI gpt-4o-mini</t>
        </is>
      </c>
      <c r="B6" s="15" t="inlineStr">
        <is>
          <t>https://developers.openai.com/api/docs/models/gpt-4o-mini</t>
        </is>
      </c>
      <c r="C6" s="15" t="inlineStr">
        <is>
          <t>Older low-cost model pricing</t>
        </is>
      </c>
      <c r="D6" s="15" t="inlineStr">
        <is>
          <t>Used in default paid route</t>
        </is>
      </c>
    </row>
    <row r="7">
      <c r="A7" s="14" t="inlineStr">
        <is>
          <t>OpenAI gpt-4o</t>
        </is>
      </c>
      <c r="B7" s="14" t="inlineStr">
        <is>
          <t>https://developers.openai.com/api/docs/models/gpt-4o</t>
        </is>
      </c>
      <c r="C7" s="14" t="inlineStr">
        <is>
          <t>Premium older model pricing</t>
        </is>
      </c>
      <c r="D7" s="14" t="inlineStr">
        <is>
          <t>Avoid routine use</t>
        </is>
      </c>
    </row>
    <row r="8">
      <c r="A8" s="15" t="inlineStr">
        <is>
          <t>OpenAI gpt-4</t>
        </is>
      </c>
      <c r="B8" s="15" t="inlineStr">
        <is>
          <t>https://developers.openai.com/api/docs/models/gpt-4</t>
        </is>
      </c>
      <c r="C8" s="15" t="inlineStr">
        <is>
          <t>Legacy GPT-4 pricing</t>
        </is>
      </c>
      <c r="D8" s="15" t="inlineStr">
        <is>
          <t>Not subscription viable</t>
        </is>
      </c>
    </row>
    <row r="9">
      <c r="A9" s="14" t="inlineStr">
        <is>
          <t>OpenAI deprecations</t>
        </is>
      </c>
      <c r="B9" s="14" t="inlineStr">
        <is>
          <t>https://developers.openai.com/api/docs/deprecations</t>
        </is>
      </c>
      <c r="C9" s="14" t="inlineStr">
        <is>
          <t>Legacy model lifecycle risk</t>
        </is>
      </c>
      <c r="D9" s="14" t="inlineStr">
        <is>
          <t>Check before hardcoding snapshots</t>
        </is>
      </c>
    </row>
    <row r="10">
      <c r="A10" s="15" t="inlineStr">
        <is>
          <t>DeepSeek pricing</t>
        </is>
      </c>
      <c r="B10" s="15" t="inlineStr">
        <is>
          <t>https://api-docs.deepseek.com/quick_start/pricing/</t>
        </is>
      </c>
      <c r="C10" s="15" t="inlineStr">
        <is>
          <t>Batch fallback pricing</t>
        </is>
      </c>
      <c r="D10" s="15" t="inlineStr">
        <is>
          <t>Off-peak price used</t>
        </is>
      </c>
    </row>
    <row r="11">
      <c r="A11" s="14" t="inlineStr">
        <is>
          <t>Sarvam pricing</t>
        </is>
      </c>
      <c r="B11" s="14" t="inlineStr">
        <is>
          <t>https://docs.sarvam.ai/api/getting-started/pricing</t>
        </is>
      </c>
      <c r="C11" s="14" t="inlineStr">
        <is>
          <t>Indic language and speech pricing</t>
        </is>
      </c>
      <c r="D11" s="14" t="inlineStr">
        <is>
          <t>Presentation layer candidate</t>
        </is>
      </c>
    </row>
    <row r="12">
      <c r="A12" s="15" t="inlineStr">
        <is>
          <t>xAI pricing</t>
        </is>
      </c>
      <c r="B12" s="15" t="inlineStr">
        <is>
          <t>https://docs.x.ai/developers/pricing</t>
        </is>
      </c>
      <c r="C12" s="15" t="inlineStr">
        <is>
          <t>Grok optional pricing</t>
        </is>
      </c>
      <c r="D12" s="15" t="inlineStr">
        <is>
          <t>Not default-cost viable</t>
        </is>
      </c>
    </row>
    <row r="13">
      <c r="A13" s="14" t="inlineStr">
        <is>
          <t>Wise FX</t>
        </is>
      </c>
      <c r="B13" s="14" t="inlineStr">
        <is>
          <t>https://wise.com/us/currency-converter/usd-to-inr-rate/history</t>
        </is>
      </c>
      <c r="C13" s="14" t="inlineStr">
        <is>
          <t>USD/INR conversion</t>
        </is>
      </c>
      <c r="D13" s="14" t="inlineStr">
        <is>
          <t>₹95.66/USD</t>
        </is>
      </c>
    </row>
    <row r="14">
      <c r="A14" s="15" t="inlineStr">
        <is>
          <t>Talk 2 Stocks spec</t>
        </is>
      </c>
      <c r="B14" s="15" t="inlineStr">
        <is>
          <t>docs/superpowers/specs/2026-08-23-talk-2-stocks-comprehensive-product-design.md</t>
        </is>
      </c>
      <c r="C14" s="15" t="inlineStr">
        <is>
          <t>Internal product scope</t>
        </is>
      </c>
      <c r="D14" s="15" t="inlineStr">
        <is>
          <t>Local repo file</t>
        </is>
      </c>
    </row>
    <row r="15">
      <c r="A15" s="14" t="inlineStr">
        <is>
          <t>Agent Adda terminal</t>
        </is>
      </c>
      <c r="B15" s="14" t="inlineStr">
        <is>
          <t>nse_agent.py</t>
        </is>
      </c>
      <c r="C15" s="14" t="inlineStr">
        <is>
          <t>Feature registry</t>
        </is>
      </c>
      <c r="D15" s="14" t="inlineStr">
        <is>
          <t>Local repo file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2026-08-23T06:50:07Z</dcterms:created>
  <dcterms:modified xmlns:dcterms="http://purl.org/dc/terms/" xmlns:xsi="http://www.w3.org/2001/XMLSchema-instance" xsi:type="dcterms:W3CDTF">2026-08-23T06:50:07Z</dcterms:modified>
</cp:coreProperties>
</file>